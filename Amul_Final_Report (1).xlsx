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4C4B12E6-69D5-4184-8ACC-E6707932B218}" xr6:coauthVersionLast="36" xr6:coauthVersionMax="36" xr10:uidLastSave="{00000000-0000-0000-0000-000000000000}"/>
  <bookViews>
    <workbookView xWindow="0" yWindow="0" windowWidth="23040" windowHeight="8940" tabRatio="500" firstSheet="2" activeTab="5" xr2:uid="{00000000-000D-0000-FFFF-FFFF00000000}"/>
  </bookViews>
  <sheets>
    <sheet name="Internship Report" sheetId="1" r:id="rId1"/>
    <sheet name="📋 How To Use" sheetId="2" r:id="rId2"/>
    <sheet name="Daily Outlet Tracker" sheetId="3" r:id="rId3"/>
    <sheet name="Daily Diary" sheetId="4" r:id="rId4"/>
    <sheet name="Weekly Summary" sheetId="5" r:id="rId5"/>
    <sheet name="Competitor Tracker" sheetId="6" r:id="rId6"/>
    <sheet name="New Routes Apr-May 26" sheetId="7" r:id="rId7"/>
    <sheet name="Route Sales Summary" sheetId="8" r:id="rId8"/>
    <sheet name="Issues &amp; Observations" sheetId="9" r:id="rId9"/>
    <sheet name="New Outlets Added" sheetId="10" r:id="rId10"/>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G18" i="5" l="1"/>
  <c r="F18" i="5"/>
  <c r="E18" i="5"/>
  <c r="D18" i="5"/>
  <c r="C18" i="5"/>
  <c r="B18" i="5"/>
</calcChain>
</file>

<file path=xl/sharedStrings.xml><?xml version="1.0" encoding="utf-8"?>
<sst xmlns="http://schemas.openxmlformats.org/spreadsheetml/2006/main" count="5058" uniqueCount="1097">
  <si>
    <t>🥛  AMUL INTERNSHIP — 3-MONTH FIELD MARKET REPORT</t>
  </si>
  <si>
    <t>February 2025 – May 2026  |  Distributor: Basant Agency  |  Salesman: Roshanlal Yadav &amp; Sachidanand Yadav  |  City: Pune</t>
  </si>
  <si>
    <t>Routes: Akurdi | Pradhikaran 1 &amp; 2 | Ajmera 1 &amp; 2 | Kunal Icon 1 &amp; 2 | Pimpri Gaon   |   Products: Cheese · Butter · Chocolate · Shrikhand</t>
  </si>
  <si>
    <t>INTERNSHIP PHASES</t>
  </si>
  <si>
    <t>Phase</t>
  </si>
  <si>
    <t>Period</t>
  </si>
  <si>
    <t>Routes Covered</t>
  </si>
  <si>
    <t>Visits</t>
  </si>
  <si>
    <t>Unique Outlets</t>
  </si>
  <si>
    <t>Order Value</t>
  </si>
  <si>
    <t>Phase 1</t>
  </si>
  <si>
    <t>Feb 25–Mar 28, 2025</t>
  </si>
  <si>
    <t>Akurdi | Pradhikaran 1 &amp; 2</t>
  </si>
  <si>
    <t>153</t>
  </si>
  <si>
    <t>77</t>
  </si>
  <si>
    <t>₹1,49,800</t>
  </si>
  <si>
    <t>Phase 2</t>
  </si>
  <si>
    <t>Apr 13–May 14, 2026</t>
  </si>
  <si>
    <t>Ajmera 1&amp;2 | Kunal Icon 1&amp;2 | Pimpri Gaon</t>
  </si>
  <si>
    <t>129</t>
  </si>
  <si>
    <t>126</t>
  </si>
  <si>
    <t>₹25,90,065</t>
  </si>
  <si>
    <t>TOTAL</t>
  </si>
  <si>
    <t>Feb 2025 – May 2026</t>
  </si>
  <si>
    <t>All 7 Routes + Expo</t>
  </si>
  <si>
    <t>282+</t>
  </si>
  <si>
    <t>203</t>
  </si>
  <si>
    <t>₹27,39,865</t>
  </si>
  <si>
    <t>KEY PERFORMANCE INDICATORS — ALL 3 MONTHS</t>
  </si>
  <si>
    <t>📦 Total Visits</t>
  </si>
  <si>
    <t>🏪 Unique Outlets</t>
  </si>
  <si>
    <t>💰 Order Value</t>
  </si>
  <si>
    <t>📊 Units Ordered</t>
  </si>
  <si>
    <t>🆕 New Outlets Added</t>
  </si>
  <si>
    <t>282</t>
  </si>
  <si>
    <t>50,107</t>
  </si>
  <si>
    <t>3</t>
  </si>
  <si>
    <t>PRODUCT STOCKING RATES BY PHASE</t>
  </si>
  <si>
    <t>Product</t>
  </si>
  <si>
    <t>Phase 1 (Feb–Mar)</t>
  </si>
  <si>
    <t>Phase 2 (Apr–May)</t>
  </si>
  <si>
    <t>Overall Rate</t>
  </si>
  <si>
    <t>Key Insight</t>
  </si>
  <si>
    <t>🧈 Butter</t>
  </si>
  <si>
    <t>90.8%</t>
  </si>
  <si>
    <t>85.3%</t>
  </si>
  <si>
    <t>88%</t>
  </si>
  <si>
    <t>Best performing product across all routes. HoReCa &amp; bulk buyers drive demand consistently.</t>
  </si>
  <si>
    <t>🧀 Cheese</t>
  </si>
  <si>
    <t>60.8%</t>
  </si>
  <si>
    <t>82.2%</t>
  </si>
  <si>
    <t>71%</t>
  </si>
  <si>
    <t>Improved sharply in Phase 2. Slice &amp; cube fast moving; cheese spread slow across all routes.</t>
  </si>
  <si>
    <t>🍫 Chocolate</t>
  </si>
  <si>
    <t>70.6%</t>
  </si>
  <si>
    <t>46.5%</t>
  </si>
  <si>
    <t>59%</t>
  </si>
  <si>
    <t>Declined in Phase 2 due to Cadbury free-fridge strategy at bakeries blocking Amul visibility.</t>
  </si>
  <si>
    <t>🍮 Shrikhand</t>
  </si>
  <si>
    <t>39.9%</t>
  </si>
  <si>
    <t>24.8%</t>
  </si>
  <si>
    <t>33%</t>
  </si>
  <si>
    <t>⚠️ Critical — biggest challenge. Expired stock not replaced → retailers refusing repeat orders.</t>
  </si>
  <si>
    <t>WEEKLY PERFORMANCE — PHASE 1 (Feb–Mar 2025)</t>
  </si>
  <si>
    <t>Week</t>
  </si>
  <si>
    <t>Outlets</t>
  </si>
  <si>
    <t>Orders</t>
  </si>
  <si>
    <t>Cheese</t>
  </si>
  <si>
    <t>Butter</t>
  </si>
  <si>
    <t>Choc</t>
  </si>
  <si>
    <t>Shrikhand</t>
  </si>
  <si>
    <t>Key Highlight</t>
  </si>
  <si>
    <t>Week 1</t>
  </si>
  <si>
    <t>25–28 Feb 2025</t>
  </si>
  <si>
    <t>22</t>
  </si>
  <si>
    <t>430</t>
  </si>
  <si>
    <t>84</t>
  </si>
  <si>
    <t>170</t>
  </si>
  <si>
    <t>55</t>
  </si>
  <si>
    <t>30</t>
  </si>
  <si>
    <t>Akurdi + Pradhikaran 1 launch. EXPO 27-28 Feb (177 units, ₹8,850). Shrikhand expiry issue first identified.</t>
  </si>
  <si>
    <t>Week 2</t>
  </si>
  <si>
    <t>03–07 Mar 2025</t>
  </si>
  <si>
    <t>36</t>
  </si>
  <si>
    <t>710</t>
  </si>
  <si>
    <t>140</t>
  </si>
  <si>
    <t>280</t>
  </si>
  <si>
    <t>96</t>
  </si>
  <si>
    <t>42</t>
  </si>
  <si>
    <t>Pradhikaran 2 + Akurdi 2nd visit. Cadbury free-fridge strategy documented at 7+ bakeries.</t>
  </si>
  <si>
    <t>Week 3</t>
  </si>
  <si>
    <t>10–14 Mar 2025</t>
  </si>
  <si>
    <t>700</t>
  </si>
  <si>
    <t>136</t>
  </si>
  <si>
    <t>272</t>
  </si>
  <si>
    <t>94</t>
  </si>
  <si>
    <t>38</t>
  </si>
  <si>
    <t>Pradhikaran 1&amp;2 revisit. Cheese spread very slow. Dark chocolate consumer enquiry at 2 outlets.</t>
  </si>
  <si>
    <t>Week 4</t>
  </si>
  <si>
    <t>17–21 Mar 2025</t>
  </si>
  <si>
    <t>31</t>
  </si>
  <si>
    <t>640</t>
  </si>
  <si>
    <t>124</t>
  </si>
  <si>
    <t>254</t>
  </si>
  <si>
    <t>86</t>
  </si>
  <si>
    <t>Full Akurdi 2nd cycle. Shrikhand defections confirmed at 5 dairies. Kesar variant positive at Mamta Sweet.</t>
  </si>
  <si>
    <t>Week 5</t>
  </si>
  <si>
    <t>24–28 Mar 2025</t>
  </si>
  <si>
    <t>51</t>
  </si>
  <si>
    <t>1,020</t>
  </si>
  <si>
    <t>200</t>
  </si>
  <si>
    <t>398</t>
  </si>
  <si>
    <t>52</t>
  </si>
  <si>
    <t>Pradhikaran 2nd cycle complete. 1st chocolate order from Bhagyalaxmi! Trust-building paying off.</t>
  </si>
  <si>
    <t>5 Weeks</t>
  </si>
  <si>
    <t>176</t>
  </si>
  <si>
    <t>3,500</t>
  </si>
  <si>
    <t>684</t>
  </si>
  <si>
    <t>1,374</t>
  </si>
  <si>
    <t>467</t>
  </si>
  <si>
    <t>192</t>
  </si>
  <si>
    <t>Phase 1 complete. 77 unique outlets. ₹1,49,800 total value.</t>
  </si>
  <si>
    <t>ROUTE-WISE PERFORMANCE — PHASE 2 (Apr–May 2026)</t>
  </si>
  <si>
    <t>Route</t>
  </si>
  <si>
    <t>Schedule</t>
  </si>
  <si>
    <t>Units</t>
  </si>
  <si>
    <t>Value (₹)</t>
  </si>
  <si>
    <t>Shrikhand %</t>
  </si>
  <si>
    <t>Top Outlet</t>
  </si>
  <si>
    <t>Ajmera 1</t>
  </si>
  <si>
    <t>Tue/Wed/Fri</t>
  </si>
  <si>
    <t>6,529</t>
  </si>
  <si>
    <t>3,59,015</t>
  </si>
  <si>
    <t>20%</t>
  </si>
  <si>
    <t>CS SY</t>
  </si>
  <si>
    <t>Ajmera 2</t>
  </si>
  <si>
    <t>26,122</t>
  </si>
  <si>
    <t>14,36,703</t>
  </si>
  <si>
    <t>13%</t>
  </si>
  <si>
    <t>Shiv Sales Corporation</t>
  </si>
  <si>
    <t>Kunal Icon 1</t>
  </si>
  <si>
    <t>Mon/Thu</t>
  </si>
  <si>
    <t>23</t>
  </si>
  <si>
    <t>6,947</t>
  </si>
  <si>
    <t>3,81,782</t>
  </si>
  <si>
    <t>35%</t>
  </si>
  <si>
    <t>Sujit Dairy</t>
  </si>
  <si>
    <t>Kunal Icon 2</t>
  </si>
  <si>
    <t>24</t>
  </si>
  <si>
    <t>5,686</t>
  </si>
  <si>
    <t>3,12,454</t>
  </si>
  <si>
    <t>38%</t>
  </si>
  <si>
    <t>Puneri Fresh Mart</t>
  </si>
  <si>
    <t>Pimpri Gaon</t>
  </si>
  <si>
    <t>1,827</t>
  </si>
  <si>
    <t>1,00,111</t>
  </si>
  <si>
    <t>23%</t>
  </si>
  <si>
    <t>Shri Maan Dairy</t>
  </si>
  <si>
    <t>All Routes</t>
  </si>
  <si>
    <t>47,111</t>
  </si>
  <si>
    <t>25,90,065</t>
  </si>
  <si>
    <t>25%</t>
  </si>
  <si>
    <t>Ajmera 2 (Highest Value)</t>
  </si>
  <si>
    <t>KEY ISSUES &amp; RECOMMENDATIONS</t>
  </si>
  <si>
    <t>Priority</t>
  </si>
  <si>
    <t>Issue</t>
  </si>
  <si>
    <t>Impact</t>
  </si>
  <si>
    <t>Recommendation</t>
  </si>
  <si>
    <t>🔴 CRITICAL</t>
  </si>
  <si>
    <t>Expired shrikhand not replaced on time</t>
  </si>
  <si>
    <t>Retailers refusing; Chitale/Warana gaining share</t>
  </si>
  <si>
    <t>Fix expiry exchange SLA to 48 hrs. Assign dedicated shrikhand return logistics.</t>
  </si>
  <si>
    <t>Zero Amul fridges in new routes (126 outlets)</t>
  </si>
  <si>
    <t>Competitor fridges push Amul to back shelf everywhere</t>
  </si>
  <si>
    <t>Supply Amul-branded fridges to top 10 outlets per route as priority.</t>
  </si>
  <si>
    <t>🟡 HIGH</t>
  </si>
  <si>
    <t>Cadbury free-fridge at 10+ bakeries</t>
  </si>
  <si>
    <t>Amul chocolate invisible; losing impulse sales</t>
  </si>
  <si>
    <t>Negotiate counter display space or provide mini Amul display units.</t>
  </si>
  <si>
    <t>May sales dropped ~95% vs April</t>
  </si>
  <si>
    <t>Vacation + shrikhand refusals combined impact</t>
  </si>
  <si>
    <t>Pre-vacation bulk stocking scheme. Incentive for shopkeepers to stock ahead.</t>
  </si>
  <si>
    <t>🟢 MEDIUM</t>
  </si>
  <si>
    <t>Cheese spread not moving across routes</t>
  </si>
  <si>
    <t>Retailers replacing with cheese slice orders</t>
  </si>
  <si>
    <t>Run tasting demo; cheese spread + butter combo scheme.</t>
  </si>
  <si>
    <t>Delivery frequency too low at top outlets</t>
  </si>
  <si>
    <t>Stock-outs causing lost mid-week sales</t>
  </si>
  <si>
    <t>2x/week delivery for top 15 outlets by order value.</t>
  </si>
  <si>
    <t>📋  HOW TO USE THIS TRACKER — AMUL INTERNSHIP</t>
  </si>
  <si>
    <t>SHEET 1 — Daily Outlet Tracker</t>
  </si>
  <si>
    <t>Fill one row per outlet you visit each day.</t>
  </si>
  <si>
    <t>Use dropdown menus for Outlet Type, Stocked (Yes/No/Partial), Fridge, Branding, Follow-up.</t>
  </si>
  <si>
    <t>Order Qty = total units ordered across all products. Order Value = your best estimate in ₹.</t>
  </si>
  <si>
    <t>Competitor Brands = write all brands you see (e.g. Britannia, Go Cheese, Chitale).</t>
  </si>
  <si>
    <t>Shopkeeper Feedback = quote what they actually said — real quotes make reports powerful!</t>
  </si>
  <si>
    <t>SHEET 2 — Daily Diary</t>
  </si>
  <si>
    <t>Fill this every evening — takes only 15 minutes.</t>
  </si>
  <si>
    <t>This becomes the raw material for your final internship report.</t>
  </si>
  <si>
    <t>Be honest — note problems, gaps, and surprises you see in the market.</t>
  </si>
  <si>
    <t>SHEET 3 — Weekly Summary</t>
  </si>
  <si>
    <t>Update once per week every Friday evening.</t>
  </si>
  <si>
    <t>Totals row auto-calculates using Excel formulas.</t>
  </si>
  <si>
    <t>Use the Key Highlight column to note the most important thing from that week.</t>
  </si>
  <si>
    <t>SHEET 4 — Competitor Tracker</t>
  </si>
  <si>
    <t>Note every competitor brand you see at each outlet.</t>
  </si>
  <si>
    <t>Price column: write the MRP you see on the pack.</t>
  </si>
  <si>
    <t>Shelf Position: Eye Level shelf = premium position — note if competitors have better placement.</t>
  </si>
  <si>
    <t>TIPS FOR YOUR REPORT</t>
  </si>
  <si>
    <t>✅  Take photos of shelf displays (with shopkeeper permission)</t>
  </si>
  <si>
    <t>✅  Track which areas have more Amul visibility vs competitor dominance</t>
  </si>
  <si>
    <t>✅  Note if shrikhand demand varies by locality type (residential vs commercial)</t>
  </si>
  <si>
    <t>✅  Ask distributors rep about top 3 and bottom 3 outlets — understand why</t>
  </si>
  <si>
    <t>✅  Look for HoReCa (Hotels, Restaurants, Cafes) separately — bulk buyers</t>
  </si>
  <si>
    <t>PRODUCTS TO FOCUS ON</t>
  </si>
  <si>
    <t>🧀  Cheese — variants: slice, block, spread, processed</t>
  </si>
  <si>
    <t>🧈  Butter — variants: salted, unsalted, 100g, 500g</t>
  </si>
  <si>
    <t>🍫  Chocolate — Amul Dark, Milk, Fruit &amp; Nut, Bindaas</t>
  </si>
  <si>
    <t>🍮  Shrikhand — variants: Elaichi, Mango, Kesar</t>
  </si>
  <si>
    <t>🥛  AMUL INTERNSHIP — DAILY OUTLET VISIT TRACKER</t>
  </si>
  <si>
    <t>Products: Cheese  |  Butter  |  Chocolate  |  Shrikhand          Intern: _______________   Distributor: _______________   City: Pune</t>
  </si>
  <si>
    <t>S.No</t>
  </si>
  <si>
    <t>Date</t>
  </si>
  <si>
    <t>Outlet Name</t>
  </si>
  <si>
    <t>Owner Name</t>
  </si>
  <si>
    <t>Area / Locality</t>
  </si>
  <si>
    <t>Outlet Type</t>
  </si>
  <si>
    <t>Cheese
✓ Stocked</t>
  </si>
  <si>
    <t>Butter
✓ Stocked</t>
  </si>
  <si>
    <t>Chocolate
✓ Stocked</t>
  </si>
  <si>
    <t>Shrikhand
✓ Stocked</t>
  </si>
  <si>
    <t>Order Qty
(Units)</t>
  </si>
  <si>
    <t>Order Value
(₹ Est.)</t>
  </si>
  <si>
    <t>Fridge
Present?</t>
  </si>
  <si>
    <t>Whose
Fridge?</t>
  </si>
  <si>
    <t>Amul
Branding?</t>
  </si>
  <si>
    <t>Competitor
Brands Seen</t>
  </si>
  <si>
    <t>Shopkeeper
Feedback</t>
  </si>
  <si>
    <t>Your
Observation</t>
  </si>
  <si>
    <t>Follow-up
Required?</t>
  </si>
  <si>
    <t>25-Feb-25</t>
  </si>
  <si>
    <t>Krishna Canteen</t>
  </si>
  <si>
    <t>Krishnarao</t>
  </si>
  <si>
    <t>Akurdi</t>
  </si>
  <si>
    <t>Hotel/Restaurant</t>
  </si>
  <si>
    <t>Yes</t>
  </si>
  <si>
    <t>No</t>
  </si>
  <si>
    <t>Own</t>
  </si>
  <si>
    <t>Cadbury</t>
  </si>
  <si>
    <t>Good butter sales, no interest in chocolate</t>
  </si>
  <si>
    <t>Canteen focused on bulk butter. No choc display at all.</t>
  </si>
  <si>
    <t>Khetlaji Super Market</t>
  </si>
  <si>
    <t>Khetlal</t>
  </si>
  <si>
    <t>Supermarket</t>
  </si>
  <si>
    <t>Amul</t>
  </si>
  <si>
    <t>Britannia, Go Cheese, Cadbury</t>
  </si>
  <si>
    <t>Asked for shrikhand replacement policy</t>
  </si>
  <si>
    <t>Cheese slice moving well. Shrikhand close to expiry - shopkeeper concerned.</t>
  </si>
  <si>
    <t>Wagheshwar Dairy</t>
  </si>
  <si>
    <t>Waghmare</t>
  </si>
  <si>
    <t>Dairy Shop</t>
  </si>
  <si>
    <t>Chitale Shrikhand, Warana</t>
  </si>
  <si>
    <t>Prefers Chitale shrikhand - customers ask for it by name</t>
  </si>
  <si>
    <t>Dairy shop strong on butter. Shrikhand shelf dominated by Chitale &amp; Warana.</t>
  </si>
  <si>
    <t>Prince Bakery</t>
  </si>
  <si>
    <t>Prince</t>
  </si>
  <si>
    <t>Bakery</t>
  </si>
  <si>
    <t>Competitor</t>
  </si>
  <si>
    <t>Cadbury Dairy Milk</t>
  </si>
  <si>
    <t>Cadbury fridge visible near counter. No Amul branding.</t>
  </si>
  <si>
    <t>Cadbury provided mini display fridge - very visible. Amul choc not displayed.</t>
  </si>
  <si>
    <t>Hi Care Chemist</t>
  </si>
  <si>
    <t>Hitesh</t>
  </si>
  <si>
    <t>Chemist</t>
  </si>
  <si>
    <t>No Fridge</t>
  </si>
  <si>
    <t>Only chocolate ordered once in 2 weeks</t>
  </si>
  <si>
    <t>Medical shop ordering chocolate only, small quantity, bi-weekly.</t>
  </si>
  <si>
    <t>Crown Bakery</t>
  </si>
  <si>
    <t>Suresh</t>
  </si>
  <si>
    <t>Cadbury Dairy Milk, Milkybar</t>
  </si>
  <si>
    <t>Butter demand stable. Chocolate competing with Cadbury fridge.</t>
  </si>
  <si>
    <t>Cadbury fridge at eye level. Amul choc kept behind counter - low visibility.</t>
  </si>
  <si>
    <t>R C Mart</t>
  </si>
  <si>
    <t>Ramchandra</t>
  </si>
  <si>
    <t>General Store</t>
  </si>
  <si>
    <t>Go Cheese, Britannia</t>
  </si>
  <si>
    <t>Cheese slice &amp; cube selling well.</t>
  </si>
  <si>
    <t>Amul branded fridge present. Shrikhand near expiry - may return.</t>
  </si>
  <si>
    <t>Maya Provision Store</t>
  </si>
  <si>
    <t>Maya Devi</t>
  </si>
  <si>
    <t>Britannia Cheese</t>
  </si>
  <si>
    <t>No chocolate ordered - customers don't ask for it</t>
  </si>
  <si>
    <t>Butter &amp; cheese only outlet. Unaware of Amul chocolate range.</t>
  </si>
  <si>
    <t>Hira Bakery</t>
  </si>
  <si>
    <t>Hiraman</t>
  </si>
  <si>
    <t>Cadbury, Milkybar</t>
  </si>
  <si>
    <t>Keeps chocolate only because customers demand it</t>
  </si>
  <si>
    <t>No cold storage. Choc on open shelf alongside Cadbury.</t>
  </si>
  <si>
    <t>Krushna Dudh Dairy</t>
  </si>
  <si>
    <t>Krushnarao</t>
  </si>
  <si>
    <t>Partial</t>
  </si>
  <si>
    <t>Chitale, Warana Shrikhand</t>
  </si>
  <si>
    <t>Reluctant to keep Amul shrikhand - expiry issue raised</t>
  </si>
  <si>
    <t>Main dairy shop. Shrikhand exchange policy a major concern.</t>
  </si>
  <si>
    <t>26-Feb-25</t>
  </si>
  <si>
    <t>Gokul Delicious Sweet</t>
  </si>
  <si>
    <t>Gokulbhai</t>
  </si>
  <si>
    <t>Pradhikaran</t>
  </si>
  <si>
    <t>Chitale Shrikhand</t>
  </si>
  <si>
    <t>Amul shrikhand not selling - customers prefer Chitale</t>
  </si>
  <si>
    <t>Sweet shop - Chitale dominates shrikhand category here.</t>
  </si>
  <si>
    <t>Suraj Sweet</t>
  </si>
  <si>
    <t>Cadbury, Chitale Shrikhand</t>
  </si>
  <si>
    <t>Cadbury fridge provided free by Cadbury rep - very attractive display</t>
  </si>
  <si>
    <t>Cadbury display strategy very effective. Amul choc visibility poor.</t>
  </si>
  <si>
    <t>Amrit Mini Market</t>
  </si>
  <si>
    <t>Amrit</t>
  </si>
  <si>
    <t>Go Cheese, Cadbury</t>
  </si>
  <si>
    <t>Cheese spread and mozzarella slow - slice &amp; cube moving well</t>
  </si>
  <si>
    <t>Amul fridge present. Cheese spread not promoted - needs push.</t>
  </si>
  <si>
    <t>Ganga Sup Mkt</t>
  </si>
  <si>
    <t>Ganga Prasad</t>
  </si>
  <si>
    <t>Good overall sales - wants more stock of cheese cubes</t>
  </si>
  <si>
    <t>Largest supermarket on route. All 4 products stocked. Best visibility.</t>
  </si>
  <si>
    <t>Raj Sup Mkt</t>
  </si>
  <si>
    <t>Rajendra</t>
  </si>
  <si>
    <t>Go Cheese</t>
  </si>
  <si>
    <t>Shrikhand not kept - tried before, expired. Company didn't replace.</t>
  </si>
  <si>
    <t>Shrikhand exchange issue confirmed again. Strong cheese &amp; butter orders.</t>
  </si>
  <si>
    <t>Ganesh Mini Market</t>
  </si>
  <si>
    <t>Ganesh</t>
  </si>
  <si>
    <t>No chocolate - says display not attractive enough</t>
  </si>
  <si>
    <t>Butter 500g most popular. Choc awareness gap noted.</t>
  </si>
  <si>
    <t>Sweet Junction</t>
  </si>
  <si>
    <t>Jayesh</t>
  </si>
  <si>
    <t>Cadbury, Chitale</t>
  </si>
  <si>
    <t>Cadbury sells more because of packaging and brand recall</t>
  </si>
  <si>
    <t>No Amul branding. Shrikhand near expiry - expressed concern.</t>
  </si>
  <si>
    <t>Rahul Department Store</t>
  </si>
  <si>
    <t>Rahul</t>
  </si>
  <si>
    <t>Cadbury, Britannia, Chitale</t>
  </si>
  <si>
    <t>Best stocked Amul outlet in Pradhikaran - happy with service</t>
  </si>
  <si>
    <t>Amul branded fridge, good placement. Cheese slice, butter selling well.</t>
  </si>
  <si>
    <t>Uttam Market</t>
  </si>
  <si>
    <t>Uttam</t>
  </si>
  <si>
    <t>Britannia Cheese, Go Cheese</t>
  </si>
  <si>
    <t>Wants more frequent delivery - runs out of cheese mid-week</t>
  </si>
  <si>
    <t>Stock replenishment gap noted. Delivery frequency issue raised.</t>
  </si>
  <si>
    <t>Shree Medical</t>
  </si>
  <si>
    <t>Shrikant</t>
  </si>
  <si>
    <t>Only orders chocolate once in 2 weeks</t>
  </si>
  <si>
    <t>Medical shop - chocolate only, bi-weekly order. Typical pattern.</t>
  </si>
  <si>
    <t>03-Mar-25</t>
  </si>
  <si>
    <t>Amardeep Sweet</t>
  </si>
  <si>
    <t>Amardeep</t>
  </si>
  <si>
    <t>Cadbury has provided them a free mini display fridge for chocolate</t>
  </si>
  <si>
    <t>Sweet shop owner noted Amul choc is better quality but Cadbury more visible.</t>
  </si>
  <si>
    <t>Shree Vinayak Mart</t>
  </si>
  <si>
    <t>Vinayak</t>
  </si>
  <si>
    <t>Cadbury, Britannia Cheese</t>
  </si>
  <si>
    <t>Cheese slice selling well. Amul choc quality good but less sweet than Cadbury</t>
  </si>
  <si>
    <t>Amul fridge present. Customer taste comparisons Amul vs Cadbury noted.</t>
  </si>
  <si>
    <t>Pankaj Fresh Mart</t>
  </si>
  <si>
    <t>Pankaj</t>
  </si>
  <si>
    <t>Fruit &amp; Nut variant selling. Wants cheese spread display guidance</t>
  </si>
  <si>
    <t>Amul well visible. Cheese spread underperforming vs slice/cube.</t>
  </si>
  <si>
    <t>Shriram Sup Mkt</t>
  </si>
  <si>
    <t>Shriram</t>
  </si>
  <si>
    <t>Cadbury, Britannia, Chitale Shrikhand</t>
  </si>
  <si>
    <t>Customer asked for Amul dark chocolate 99% - not stocked here</t>
  </si>
  <si>
    <t>Amul dark chocolate range unknown to shopkeeper - awareness gap.</t>
  </si>
  <si>
    <t>Tanishka Trading Co</t>
  </si>
  <si>
    <t>Tanishka</t>
  </si>
  <si>
    <t>Butter 500g best seller. Cheese cube good. No chocolate ordered.</t>
  </si>
  <si>
    <t>Focused cheese &amp; butter outlet. Chocolate category completely absent.</t>
  </si>
  <si>
    <t>Swastik Sup Mkt</t>
  </si>
  <si>
    <t>Swastik</t>
  </si>
  <si>
    <t>Cadbury, Britannia, Go Cheese, Chitale</t>
  </si>
  <si>
    <t>Well stocked. One batch of shrikhand expired - wants replacement</t>
  </si>
  <si>
    <t>Shrikhand expiry issue again. 4th outlet raising same concern this week.</t>
  </si>
  <si>
    <t>National Sup Mkt</t>
  </si>
  <si>
    <t>Nathu</t>
  </si>
  <si>
    <t>Cadbury, Go Cheese</t>
  </si>
  <si>
    <t>Cheese spread sitting 3 weeks - near expiry. Butter fast moving.</t>
  </si>
  <si>
    <t>Cheese spread not moving. Needs consumer promotion or tasting activity.</t>
  </si>
  <si>
    <t>Fine Bakery</t>
  </si>
  <si>
    <t>Firoz</t>
  </si>
  <si>
    <t>Competitor fridge present - Amul choc kept on shelf behind</t>
  </si>
  <si>
    <t>Classic case - Cadbury fridge at prime spot, Amul chocolate hidden.</t>
  </si>
  <si>
    <t>Janta Sup Mkt</t>
  </si>
  <si>
    <t>Janardhan</t>
  </si>
  <si>
    <t>Chitale, Go Cheese, Cadbury</t>
  </si>
  <si>
    <t>Good relationship with rep. Open to stocking Amul dark chocolate range.</t>
  </si>
  <si>
    <t>Opportunity outlet - receptive owner. Good pilot for dark choc range.</t>
  </si>
  <si>
    <t>Mahalaxmi Sup Mkt</t>
  </si>
  <si>
    <t>Laxmibai</t>
  </si>
  <si>
    <t>Cadbury, Chitale, Britannia</t>
  </si>
  <si>
    <t>Shrikhand returned last time - now refusing to order</t>
  </si>
  <si>
    <t>Strong outlet but shrikhand issue damaged trust. Policy fix critical.</t>
  </si>
  <si>
    <t>05-Mar-25</t>
  </si>
  <si>
    <t>Khandelwal Sup Mkt</t>
  </si>
  <si>
    <t>Khandelwal</t>
  </si>
  <si>
    <t>Asked if Amul has any Holi scheme for chocolate</t>
  </si>
  <si>
    <t>Festival demand upcoming. Opportunity for promotional push.</t>
  </si>
  <si>
    <t>Shiv Dairy</t>
  </si>
  <si>
    <t>Shivdas</t>
  </si>
  <si>
    <t>Chitale, Warana</t>
  </si>
  <si>
    <t>Not stocking shrikhand anymore after expiry issue - tried twice</t>
  </si>
  <si>
    <t>Another shrikhand defection. Competitor Chitale winning on exchange policy.</t>
  </si>
  <si>
    <t>Mamta Sweet</t>
  </si>
  <si>
    <t>Mamta</t>
  </si>
  <si>
    <t>Butter very fast. Says Amul shrikhand kesar variant was good but policy issue</t>
  </si>
  <si>
    <t>Positive on quality but supply/expiry issue driving customers away.</t>
  </si>
  <si>
    <t>Om Shivam Dairy</t>
  </si>
  <si>
    <t>Om Prakash</t>
  </si>
  <si>
    <t>Ordered butter only. Shrikhand - only Elaichi variant small qty</t>
  </si>
  <si>
    <t>Amul fridge present but shrikhand shelf half-empty. Chitale prominent.</t>
  </si>
  <si>
    <t>27-Feb-25</t>
  </si>
  <si>
    <t>Maratha Expo - Day 1 (Amul Stall)</t>
  </si>
  <si>
    <t>Expo Organiser</t>
  </si>
  <si>
    <t>Pune - Expo</t>
  </si>
  <si>
    <t>None - Amul exclusive stall</t>
  </si>
  <si>
    <t>Many visitors purchased. Several distributorship &amp; agency inquiries</t>
  </si>
  <si>
    <t>High footfall at expo. Customers interested in dark chocolate range. Multiple distributorship leads.</t>
  </si>
  <si>
    <t>28-Feb-25</t>
  </si>
  <si>
    <t>Maratha Expo - Day 2 (Amul Stall)</t>
  </si>
  <si>
    <t>Same pattern as Day 1. Product trials positive. Distribution leads collected.</t>
  </si>
  <si>
    <t>Dark chocolate 55%-99% range attracted premium buyers. Expo very successful.</t>
  </si>
  <si>
    <t>M Mart</t>
  </si>
  <si>
    <t>Mahendra</t>
  </si>
  <si>
    <t>Butter fast moving. Cheese cube running low mid-week.</t>
  </si>
  <si>
    <t>Good Amul visibility. Chocolate Fruit &amp; Nut variant moving well here.</t>
  </si>
  <si>
    <t>Devendra Traders</t>
  </si>
  <si>
    <t>Devendra</t>
  </si>
  <si>
    <t>Only butter and cheese ordered. Not interested in chocolate.</t>
  </si>
  <si>
    <t>Wholesale-type outlet. Focuses on fast-moving dairy products only.</t>
  </si>
  <si>
    <t>Laxmi Rice</t>
  </si>
  <si>
    <t>Laxman</t>
  </si>
  <si>
    <t>None</t>
  </si>
  <si>
    <t>Only butter ordered - uses for cooking purposes</t>
  </si>
  <si>
    <t>Provision store focused on dry goods. Butter used for B2B cooking supply.</t>
  </si>
  <si>
    <t>Ganesh Bakery</t>
  </si>
  <si>
    <t>Cadbury fridge clearly placed near billing counter</t>
  </si>
  <si>
    <t>Another bakery with Cadbury fridge. Amul choc stocked but behind counter.</t>
  </si>
  <si>
    <t>07-Mar-25</t>
  </si>
  <si>
    <t>New Hari Om Mkt</t>
  </si>
  <si>
    <t>Hari Om</t>
  </si>
  <si>
    <t>Chitale, Cadbury, Britannia</t>
  </si>
  <si>
    <t>Good store. Shrikhand - only Elaichi variant kept, small qty.</t>
  </si>
  <si>
    <t>Amul fridge present. Shrikhand hesitant due to expiry policy.</t>
  </si>
  <si>
    <t>Om Mini Market</t>
  </si>
  <si>
    <t>Omkar</t>
  </si>
  <si>
    <t>Cheese slice very popular here. No interest in shrikhand.</t>
  </si>
  <si>
    <t>Compact but well-stocked Amul outlet. Cheese &amp; butter performing well.</t>
  </si>
  <si>
    <t>Gurukrupa Mini Market</t>
  </si>
  <si>
    <t>Gurukrupa</t>
  </si>
  <si>
    <t>Keeping Amul shrikhand only because rep requested - says it moves slowly</t>
  </si>
  <si>
    <t>Shrikhand stocked under pressure. Risk of discontinuation if no consumer pull.</t>
  </si>
  <si>
    <t>Thakur Dairy</t>
  </si>
  <si>
    <t>Thakur</t>
  </si>
  <si>
    <t>Amul shrikhand Mango variant selling well during current season</t>
  </si>
  <si>
    <t>Seasonal demand for Mango shrikhand positive! Note for seasonal strategy.</t>
  </si>
  <si>
    <t>Bhawani Super Market</t>
  </si>
  <si>
    <t>Bhawani</t>
  </si>
  <si>
    <t>One of the larger Akurdi outlets. All 4 products stocked.</t>
  </si>
  <si>
    <t>Good Amul presence. Cheese spread sitting - needs promotion support.</t>
  </si>
  <si>
    <t>Hanuman Sup Mkt</t>
  </si>
  <si>
    <t>Hanuman</t>
  </si>
  <si>
    <t>Cadbury, Britannia</t>
  </si>
  <si>
    <t>Wants more frequent delivery. Cheese cube runs out before next visit.</t>
  </si>
  <si>
    <t>Stock-out issue noted. Delivery schedule needs adjustment for this outlet.</t>
  </si>
  <si>
    <t>Vardhaman Mini Market</t>
  </si>
  <si>
    <t>Vardhan</t>
  </si>
  <si>
    <t>Only cheese and butter. No awareness of Amul chocolate range.</t>
  </si>
  <si>
    <t>Typical pattern - butter + cheese only outlet. Choc category gap.</t>
  </si>
  <si>
    <t>Dutta Krupa Dairy</t>
  </si>
  <si>
    <t>Dutta</t>
  </si>
  <si>
    <t>Amul shrikhand not moving. Says Chitale gives home delivery - Amul does not.</t>
  </si>
  <si>
    <t>Interesting insight - Chitale offers home delivery service. Competitive edge.</t>
  </si>
  <si>
    <t>10-Mar-25</t>
  </si>
  <si>
    <t>Jai Hanuman Sup Mkt</t>
  </si>
  <si>
    <t>Jai Hanuman</t>
  </si>
  <si>
    <t>Cadbury, Go Cheese, Chitale</t>
  </si>
  <si>
    <t>Good all-round Amul outlet. Butter 500g best seller.</t>
  </si>
  <si>
    <t>Strong relationship with rep. First outlet to ask about Amul ice cream too.</t>
  </si>
  <si>
    <t>Yewale Dairy</t>
  </si>
  <si>
    <t>Yewale</t>
  </si>
  <si>
    <t>Yewale is a tea-chain outlet - butter used for sandwiches &amp; toast in large qty</t>
  </si>
  <si>
    <t>HoReCa-type use. High butter consumption. Shrikhand not customer-facing.</t>
  </si>
  <si>
    <t>Akshay Sup Mkt</t>
  </si>
  <si>
    <t>Akshay</t>
  </si>
  <si>
    <t>Cadbury, Britannia, Go Cheese</t>
  </si>
  <si>
    <t>Good Amul stocking. Dark chocolate enquiry from a customer noted.</t>
  </si>
  <si>
    <t>Aware owner - open to stocking Amul dark choc range if supply is assured.</t>
  </si>
  <si>
    <t>Ujjwal Dry Fruits</t>
  </si>
  <si>
    <t>Ujjwal</t>
  </si>
  <si>
    <t>Only chocolates - customers buying as gifts alongside dry fruits</t>
  </si>
  <si>
    <t>Interesting outlet type. Gift-purchase pattern. Dark choc premium gifting opp.</t>
  </si>
  <si>
    <t>Krushnraj Dairy</t>
  </si>
  <si>
    <t>Krushnraj</t>
  </si>
  <si>
    <t>Dairy shop - shrikhand only Amul Elaichi kept. Very slow movement.</t>
  </si>
  <si>
    <t>Dairy shop owner said customers buy Amul shrikhand only if Chitale is out of stock.</t>
  </si>
  <si>
    <t>Satyam Bakery</t>
  </si>
  <si>
    <t>Satyam</t>
  </si>
  <si>
    <t>Cadbury fridge present. Amul chocolate not visible at counter.</t>
  </si>
  <si>
    <t>Classic Cadbury fridge blocking Amul visibility. Consistent pattern across bakeries.</t>
  </si>
  <si>
    <t>Baba Sai Dairy</t>
  </si>
  <si>
    <t>Baba Sai</t>
  </si>
  <si>
    <t>Refused to increase shrikhand order - says previous batch not collected on expiry</t>
  </si>
  <si>
    <t>Shrikhand expiry issue again. Baba Sai dairy very firm on this.</t>
  </si>
  <si>
    <t>Nav Jyoti Sup Mkt</t>
  </si>
  <si>
    <t>Nav Jyoti</t>
  </si>
  <si>
    <t>Decent Amul outlet. Cheese cube very popular. Butter 100g also fast.</t>
  </si>
  <si>
    <t>Amul visibility good here. Cheese spread still slow - 3rd week running.</t>
  </si>
  <si>
    <t>Maharashtra Bakery</t>
  </si>
  <si>
    <t>Maharashtra</t>
  </si>
  <si>
    <t>Cadbury fridge given free. Amul on back shelf.</t>
  </si>
  <si>
    <t>Same fridge issue. Noted as 6th bakery with Cadbury fridge on route.</t>
  </si>
  <si>
    <t>Anand Sup Mkt</t>
  </si>
  <si>
    <t>Anand</t>
  </si>
  <si>
    <t>Happy with Amul service. Asks for shrikhand only if exchange policy fixed.</t>
  </si>
  <si>
    <t>Positive relationship. Would expand Amul range if expiry issue resolved.</t>
  </si>
  <si>
    <t>12-Mar-25</t>
  </si>
  <si>
    <t>Vishal Department Store</t>
  </si>
  <si>
    <t>Vishal</t>
  </si>
  <si>
    <t>Largest Pradhikaran 1 outlet. All SKUs stocked. Good Amul display.</t>
  </si>
  <si>
    <t>Best Amul outlet in Pradhikaran 1. Cheese slice and butter 500g top sellers.</t>
  </si>
  <si>
    <t>Prem Market</t>
  </si>
  <si>
    <t>Prem</t>
  </si>
  <si>
    <t>Cheese and butter only. Doesn't stock chocolate - no customer demand.</t>
  </si>
  <si>
    <t>Semi-wholesale store. Butter in bulk packs moves well.</t>
  </si>
  <si>
    <t>Gokul Sup Mkt</t>
  </si>
  <si>
    <t>Gokul</t>
  </si>
  <si>
    <t>Good cheese sales. Shrikhand - declined to order. Expiry concern.</t>
  </si>
  <si>
    <t>Consistent pattern - shrikhand exchange policy blocking repeat orders.</t>
  </si>
  <si>
    <t>Ganesh Sup Mkt</t>
  </si>
  <si>
    <t>Reliable outlet. Butter 500g and cheese slice top movers.</t>
  </si>
  <si>
    <t>Amul fridge well maintained. Owner proactive about displaying products.</t>
  </si>
  <si>
    <t>Jeevan Medical</t>
  </si>
  <si>
    <t>Jeevan</t>
  </si>
  <si>
    <t>Chocolate only, bi-weekly order as usual</t>
  </si>
  <si>
    <t>Chemist - standard pattern. Only chocolate, small bi-weekly order.</t>
  </si>
  <si>
    <t>Radhey Krishna Medical</t>
  </si>
  <si>
    <t>Radhey</t>
  </si>
  <si>
    <t>Similar to other medical shops - small chocolate order only</t>
  </si>
  <si>
    <t>Bi-weekly chocolate order. No interest in other Amul products.</t>
  </si>
  <si>
    <t>Tanishka Medical</t>
  </si>
  <si>
    <t>Ordered Bindaas bar specifically - customer demand for it</t>
  </si>
  <si>
    <t>Medical shops seem to sell Bindaas bar as impulse purchase near billing.</t>
  </si>
  <si>
    <t>Bhawani Medical</t>
  </si>
  <si>
    <t>Cadbury Dairy Milk outselling Amul here at medical store</t>
  </si>
  <si>
    <t>No Amul display. Cadbury at eye level near billing counter.</t>
  </si>
  <si>
    <t>Anand Sup Shoppee</t>
  </si>
  <si>
    <t>Good Amul outlet. Cheese slice and butter strong. Shrikhand Kesar variant requested.</t>
  </si>
  <si>
    <t>Customer specifically asked for Kesar shrikhand - seasonal demand signal.</t>
  </si>
  <si>
    <t>Manpasand Daily Needs</t>
  </si>
  <si>
    <t>Manpasand</t>
  </si>
  <si>
    <t>Steady Amul orders. No shrikhand - expiry policy concern raised.</t>
  </si>
  <si>
    <t>Consistent buyer. Relationship strong but shrikhand issue remains barrier.</t>
  </si>
  <si>
    <t>14-Mar-25</t>
  </si>
  <si>
    <t>P Square</t>
  </si>
  <si>
    <t>Modern retail format. Good product display. All 4 categories stocked.</t>
  </si>
  <si>
    <t>Best-format outlet in Pradhikaran 2. Clean display, all Amul products visible.</t>
  </si>
  <si>
    <t>Ganesh Enterprises</t>
  </si>
  <si>
    <t>Wholesale-type buyer. Butter and cheese in bulk quantities.</t>
  </si>
  <si>
    <t>B2B buyer pattern. Large butter order for food business supply.</t>
  </si>
  <si>
    <t>Om Sup Mkt</t>
  </si>
  <si>
    <t>Cheese slice moving fast. Shrikhand - not interested due to expiry.</t>
  </si>
  <si>
    <t>Repeat expiry concern. 10th outlet this cycle raising same issue.</t>
  </si>
  <si>
    <t>Chitale, Cadbury</t>
  </si>
  <si>
    <t>All 4 products stocked. Shrikhand Elaichi selling steadily here.</t>
  </si>
  <si>
    <t>One of few Pradhikaran 2 outlets still stocking Amul shrikhand positively.</t>
  </si>
  <si>
    <t>Naglecha Sup Mkt</t>
  </si>
  <si>
    <t>Naglecha</t>
  </si>
  <si>
    <t>Good Amul display. Cheese spread near expiry - needs push.</t>
  </si>
  <si>
    <t>Amul fridge well positioned. Dark chocolate range worth introducing here.</t>
  </si>
  <si>
    <t>National Traders</t>
  </si>
  <si>
    <t>National</t>
  </si>
  <si>
    <t>Only cheese and butter. Says customers don't ask for chocolate here.</t>
  </si>
  <si>
    <t>Residential area store. Conservative ordering pattern.</t>
  </si>
  <si>
    <t>17-Mar-25</t>
  </si>
  <si>
    <t>Bhagyalaxmi Traders</t>
  </si>
  <si>
    <t>Bhagyalaxmi</t>
  </si>
  <si>
    <t>Steady orders. Interested in stocking Amul dark chocolate if available.</t>
  </si>
  <si>
    <t>Proactive owner. Could be good pilot outlet for dark choc range.</t>
  </si>
  <si>
    <t>Mithai Magic</t>
  </si>
  <si>
    <t>Mithai</t>
  </si>
  <si>
    <t>Sweet shop - Amul chocolate and shrikhand both stocked alongside Chitale</t>
  </si>
  <si>
    <t>Both Amul and Chitale shrikhand on shelf. Customer preference observation needed.</t>
  </si>
  <si>
    <t>Suraj Traders</t>
  </si>
  <si>
    <t>Suraj</t>
  </si>
  <si>
    <t>Strong Amul outlet. Owner very cooperative with rep.</t>
  </si>
  <si>
    <t>All products stocked and displayed well. Best relationship outlet in Pradhikaran 2.</t>
  </si>
  <si>
    <t>Om Shiv Dairy</t>
  </si>
  <si>
    <t>Om Shiv</t>
  </si>
  <si>
    <t>Shrikhand only Elaichi kept. Says Amul needs to match Chitale on freshness.</t>
  </si>
  <si>
    <t>Separate outlet from Om Shivam Dairy nearby. Butter fast, shrikhand very slow.</t>
  </si>
  <si>
    <t>Butter order increased from last visit - business picking up.</t>
  </si>
  <si>
    <t>Repeat visit - butter order up by 2 units. No new products requested.</t>
  </si>
  <si>
    <t>Cheese cube running low - asked for extra stock mid-week if possible.</t>
  </si>
  <si>
    <t>Order increased vs first visit. Shrikhand still near expiry concern raised again.</t>
  </si>
  <si>
    <t>Completely stopped ordering Amul shrikhand - switched fully to Chitale.</t>
  </si>
  <si>
    <t>Major shrikhand defection confirmed. Chitale now occupies full shrikhand shelf.</t>
  </si>
  <si>
    <t>Cadbury fridge still dominant. Asked about any Amul display support.</t>
  </si>
  <si>
    <t>Same Cadbury fridge situation. Owner asked if Amul can provide display unit.</t>
  </si>
  <si>
    <t>Bi-weekly chocolate order as usual. No change.</t>
  </si>
  <si>
    <t>Standard bi-weekly chocolate order. No new products.</t>
  </si>
  <si>
    <t>Butter order slightly up. Chocolate still low visibility due to Cadbury fridge.</t>
  </si>
  <si>
    <t>Cadbury fridge dominant. Amul Fruit &amp; Nut bar visible at billing - small progress.</t>
  </si>
  <si>
    <t>Cheese slice demand up. Happy with rep service and delivery timing.</t>
  </si>
  <si>
    <t>Best performing Akurdi outlet. All products moving well. Shrikhand expiry managed.</t>
  </si>
  <si>
    <t>Still no interest in chocolate. Butter and cheese steady.</t>
  </si>
  <si>
    <t>Consistent outlet. Rep has good relationship. Chocolate category still absent.</t>
  </si>
  <si>
    <t>Butter order same as last time. Chocolate very slow without cold display.</t>
  </si>
  <si>
    <t>No fridge means chocolate kept on ambient shelf - limited shelf life visibility.</t>
  </si>
  <si>
    <t>19-Mar-25</t>
  </si>
  <si>
    <t>Refused shrikhand order again - second consecutive time. Wants policy fix.</t>
  </si>
  <si>
    <t>Strong butter orders. Shrikhand completely abandoned now. Trust issue with Amul.</t>
  </si>
  <si>
    <t>Cheese spread not moving - asked to replace with more cheese slice stock.</t>
  </si>
  <si>
    <t>Cheese spread shelf space being converted to cheese slice by shopkeeper request.</t>
  </si>
  <si>
    <t>No shrikhand ordered - second time. Firmly switched to Chitale.</t>
  </si>
  <si>
    <t>Shrikhand loss confirmed at Shiv Dairy. Competitor gaining by reliable expiry.</t>
  </si>
  <si>
    <t>Shrikhand Kesar variant sold out last time - reordering today.</t>
  </si>
  <si>
    <t>Positive: shrikhand Kesar actually sold here. One bright spot for Amul shrikhand.</t>
  </si>
  <si>
    <t>Reduced shrikhand order further. Butter stable.</t>
  </si>
  <si>
    <t>Shrikhand order declining each visit. Pattern consistent with other dairies.</t>
  </si>
  <si>
    <t>Cheese cube order increased. Happy with quality and delivery.</t>
  </si>
  <si>
    <t>Good repeat customer. Relationship strong with rep. Chocolate selling moderately.</t>
  </si>
  <si>
    <t>Butter order same. No new products. Happy with service.</t>
  </si>
  <si>
    <t>Consistent wholesale-type buyer. Butter and cheese slice in bulk.</t>
  </si>
  <si>
    <t>Same order as before - butter for cooking use only.</t>
  </si>
  <si>
    <t>Provision store cooking supply pattern unchanged.</t>
  </si>
  <si>
    <t>Cadbury fridge still in place. Amul chocolate behind counter.</t>
  </si>
  <si>
    <t>Cadbury fridge blocking Amul visibility - consistent pattern for all bakeries.</t>
  </si>
  <si>
    <t>Shrikhand - small order again. Owner says will stop if not moving.</t>
  </si>
  <si>
    <t>Shrikhand at risk of being dropped here. Need consumer pull or scheme support.</t>
  </si>
  <si>
    <t>21-Mar-25</t>
  </si>
  <si>
    <t>Cheese slice very popular. Butter 500g fast. Chocolate order up slightly.</t>
  </si>
  <si>
    <t>Positive visit. Amul cheese holding ground against Go Cheese here.</t>
  </si>
  <si>
    <t>Not stocking shrikhand or chocolate. Only cheese and butter.</t>
  </si>
  <si>
    <t>Small outlet. Cheese slice and butter 100g are the only Amul products viable here.</t>
  </si>
  <si>
    <t>Mango shrikhand demand still active - Thakur is a rare positive for Amul shrikhand.</t>
  </si>
  <si>
    <t>Seasonal Mango shrikhand moving here. Confirm this is route exception or seasonal.</t>
  </si>
  <si>
    <t>Pleased with Amul fridge quality and product freshness. All 4 categories ordered.</t>
  </si>
  <si>
    <t>Amul fridge supermarket - full range stocked. Best shrikhand outlet in Akurdi.</t>
  </si>
  <si>
    <t>Cheese cube stock finished before this visit - lost some sales. Wants 2 deliveries/week.</t>
  </si>
  <si>
    <t>Stock-out issue causing lost sales. Delivery frequency the main request from this outlet.</t>
  </si>
  <si>
    <t>Steady order. No new products. Satisfied with delivery.</t>
  </si>
  <si>
    <t>Consistent ordering pattern. No fridge limits product range.</t>
  </si>
  <si>
    <t>Stopped Amul shrikhand. Chitale giving home delivery which Amul doesn't offer.</t>
  </si>
  <si>
    <t>Chitale home delivery advantage confirmed again. Third dairy citing this reason.</t>
  </si>
  <si>
    <t>Repeat good order. Asked about Amul Bindaas bar availability for next visit.</t>
  </si>
  <si>
    <t>Strong loyal outlet. Interest in Bindaas bar - growing youth product demand.</t>
  </si>
  <si>
    <t>Butter order up - new sandwich menu added at tea shop. No shrikhand interest.</t>
  </si>
  <si>
    <t>Yewale expanding menu - butter consumption will increase. Good growth outlet.</t>
  </si>
  <si>
    <t>Dark chocolate enquiry from customer again. Suggested stocking Amul 55% dark.</t>
  </si>
  <si>
    <t>Two consecutive visits with dark chocolate enquiry. Clear consumer demand signal.</t>
  </si>
  <si>
    <t>24-Mar-25</t>
  </si>
  <si>
    <t>No shrikhand reorder - Chitale firmly preferred. Butter and cheese steady.</t>
  </si>
  <si>
    <t>Shrikhand lost here permanently unless exchange policy improves.</t>
  </si>
  <si>
    <t>Shrikhand Elaichi selling slowly but still on shelf. Chocolate low due to Cadbury fridge.</t>
  </si>
  <si>
    <t>Small positive - shrikhand not yet dropped here. Cadbury fridge still dominant for choc.</t>
  </si>
  <si>
    <t>Cheese slice order up. Happy with Amul fridge condition and delivery.</t>
  </si>
  <si>
    <t>Good Amul fridge outlet. Consistent growth in cheese and butter orders.</t>
  </si>
  <si>
    <t>Best order of the week. Butter 500g and cheese slice top performers.</t>
  </si>
  <si>
    <t>Largest order this cycle. Amul fridge in great condition. All categories moving.</t>
  </si>
  <si>
    <t>Shrikhand still not ordered. Cheese and butter growing steadily.</t>
  </si>
  <si>
    <t>Consistent no-shrikhand pattern. Cheese and butter strong repeat buyer.</t>
  </si>
  <si>
    <t>Same as first visit - butter and cheese only. No change in product mix.</t>
  </si>
  <si>
    <t>Stable small outlet. Not interested in expanding beyond core dairy products.</t>
  </si>
  <si>
    <t>Shrikhand small qty - Elaichi only. Butter steady. Chocolate very slow.</t>
  </si>
  <si>
    <t>No fridge limits potential. Sweet shop owner open to trying Amul fridge if offered.</t>
  </si>
  <si>
    <t>Best Pradhikaran 1 outlet again. Shrikhand Elaichi and Kesar both moving.</t>
  </si>
  <si>
    <t>Strong loyal outlet. Rep relationship very good. Order grew since first visit.</t>
  </si>
  <si>
    <t>Wants twice-weekly delivery - keeps running out of cheese. No chocolate interest.</t>
  </si>
  <si>
    <t>Delivery frequency issue same as first visit. Potential for increased order if resolved.</t>
  </si>
  <si>
    <t>Bi-weekly chocolate order - Bindaas bar specifically requested this time.</t>
  </si>
  <si>
    <t>Bindaas bar becoming popular at medical shop counter - impulse purchase pattern.</t>
  </si>
  <si>
    <t>26-Mar-25</t>
  </si>
  <si>
    <t>Stopped Amul shrikhand - second consecutive no order. Fully on Chitale now.</t>
  </si>
  <si>
    <t>Confirmed shrikhand loss. Butter order stable at 12 units.</t>
  </si>
  <si>
    <t>Cadbury fridge dominant. Same pattern as first visit.</t>
  </si>
  <si>
    <t>No change - Cadbury fridge position unchanged. Amul chocolate behind counter.</t>
  </si>
  <si>
    <t>Firm no on shrikhand. Butter order same as before.</t>
  </si>
  <si>
    <t>Third consecutive visit raising expiry exchange issue. Pattern now very clear.</t>
  </si>
  <si>
    <t>Good order. Cheese cube and butter 500g best sellers. Shrikhand Elaichi selling.</t>
  </si>
  <si>
    <t>Amul fridge supermarket performing well. Full range available and visible.</t>
  </si>
  <si>
    <t>Cadbury fridge unchanged. Butter order same. Amul chocolate very low visibility.</t>
  </si>
  <si>
    <t>Pattern consistent with all bakeries. Cadbury fridge strategy very effective.</t>
  </si>
  <si>
    <t>Shrikhand - one variant only. Happy with cheese and butter delivery frequency.</t>
  </si>
  <si>
    <t>Gradual improvement. Willingness to expand Amul range if shrikhand issue resolved.</t>
  </si>
  <si>
    <t>Largest Pradhikaran 1 order again. All products performing. Cheese spread still slow.</t>
  </si>
  <si>
    <t>Top outlet on Pradhikaran 1 route. Cheese spread the only weak category here.</t>
  </si>
  <si>
    <t>Steady cheese and butter. No new categories requested.</t>
  </si>
  <si>
    <t>Wholesale pattern unchanged. Reliable buyer for core dairy products.</t>
  </si>
  <si>
    <t>Cheese order up slightly. Shrikhand still not ordered - expiry concern persists.</t>
  </si>
  <si>
    <t>Consistent growth in cheese and butter. Shrikhand barrier remains.</t>
  </si>
  <si>
    <t>Good all-round order. Butter 500g and cheese slice top movers again.</t>
  </si>
  <si>
    <t>Reliable repeat buyer. Order slightly up from first visit. Good rep relationship.</t>
  </si>
  <si>
    <t>28-Mar-25</t>
  </si>
  <si>
    <t>Shrikhand Elaichi added this time - small trial qty. Chocolate still low visibility.</t>
  </si>
  <si>
    <t>Competitor fridge unchanged. Small positive - shrikhand trial order placed.</t>
  </si>
  <si>
    <t>Cheese slice order up. Butter 500g strong. Happy with delivery and quality.</t>
  </si>
  <si>
    <t>Good growth outlet. Second visit shows increased confidence in Amul products.</t>
  </si>
  <si>
    <t>Best order this visit - all categories up. Cheese and shrikhand both performing.</t>
  </si>
  <si>
    <t>Amul fridge outlet growing well. One of the best improvements across 2nd cycle.</t>
  </si>
  <si>
    <t>All categories ordered. Butter and cheese slice top sellers.</t>
  </si>
  <si>
    <t>Strong repeat buyer. Shrikhand maintained from first visit. Good relationship.</t>
  </si>
  <si>
    <t>Regular bi-weekly chocolate order unchanged.</t>
  </si>
  <si>
    <t>Standard medical shop pattern. No expansion expected.</t>
  </si>
  <si>
    <t>Bi-weekly order same as before.</t>
  </si>
  <si>
    <t>No change from first visit.</t>
  </si>
  <si>
    <t>Cheese and butter up slightly. No chocolate interest.</t>
  </si>
  <si>
    <t>Consistent ordering pattern. Good relationship with rep.</t>
  </si>
  <si>
    <t>Bindaas bar order again - same as first visit.</t>
  </si>
  <si>
    <t>Bindaas bar impulse purchase pattern confirmed at medical shops.</t>
  </si>
  <si>
    <t>Shrikhand - reduced order due to previous expiry. Cheese and butter strong.</t>
  </si>
  <si>
    <t>Amul fridge outlet. Good overall but shrikhand trust still not fully restored.</t>
  </si>
  <si>
    <t>Chocolate order up slightly - Bindaas bar requested.</t>
  </si>
  <si>
    <t>Cadbury losing some ground at this medical shop to Amul Bindaas.</t>
  </si>
  <si>
    <t>Cheese spread order dropped - replaced with more cheese slice stock.</t>
  </si>
  <si>
    <t>Cheese spread completely substituted by cheese slice. Consumer preference clear.</t>
  </si>
  <si>
    <t>All products ordered. Butter and cheese slice top performers again.</t>
  </si>
  <si>
    <t>Good consistent outlet. Shrikhand Kesar variant selling well here.</t>
  </si>
  <si>
    <t>Cadbury fridge still dominant. Butter order up slightly.</t>
  </si>
  <si>
    <t>Fridge situation unchanged. But butter growing at bakeries as base ingredient.</t>
  </si>
  <si>
    <t>Cheese and butter up from first visit. Shrikhand still not ordered.</t>
  </si>
  <si>
    <t>Good growth in core products. Shrikhand barrier consistent.</t>
  </si>
  <si>
    <t>All categories performing. Good Amul display and product visibility.</t>
  </si>
  <si>
    <t>Amul fridge modern outlet. One of the best visibility scores on any route.</t>
  </si>
  <si>
    <t>Butter and cheese bulk order same as before.</t>
  </si>
  <si>
    <t>Wholesale buyer stable. No change expected.</t>
  </si>
  <si>
    <t>Cheese slice and butter strong. Amul dark chocolate discussion with owner again.</t>
  </si>
  <si>
    <t>Owner increasingly interested in dark chocolate. Potential pilot outlet next cycle.</t>
  </si>
  <si>
    <t>Shrikhand - small qty trial after last time returning. Trust slowly rebuilding.</t>
  </si>
  <si>
    <t>Positive sign - Mahalaxmi trying shrikhand again after exchange issue. Keep monitoring.</t>
  </si>
  <si>
    <t>Cheese and butter steady. Shrikhand still not ordered.</t>
  </si>
  <si>
    <t>Consistent pattern. Shrikhand will not return without exchange policy fix.</t>
  </si>
  <si>
    <t>All 4 products ordered. Shrikhand Elaichi still moving.</t>
  </si>
  <si>
    <t>One of few Pradhikaran 2 outlets with consistent shrikhand orders.</t>
  </si>
  <si>
    <t>Good order. Cheese and butter up. Shrikhand small but consistent.</t>
  </si>
  <si>
    <t>Good relationship outlet. Willing to try Amul dark choc if made available.</t>
  </si>
  <si>
    <t>Cheese and butter steady. No chocolate interest.</t>
  </si>
  <si>
    <t>Reliable conservative buyer. No new categories likely without promotion.</t>
  </si>
  <si>
    <t>Cheese and butter up. Chocolate order placed - first time for this outlet!</t>
  </si>
  <si>
    <t>First chocolate order from Bhagyalaxmi! Relationship building paying off.</t>
  </si>
  <si>
    <t>Shrikhand Elaichi selling alongside Chitale. Amul holding some ground.</t>
  </si>
  <si>
    <t>Both Amul and Chitale shrikhand on shelf here - direct comparison possible.</t>
  </si>
  <si>
    <t>Strongest Pradhikaran 2 relationship outlet. All products up from first visit.</t>
  </si>
  <si>
    <t>Best growth outlet in Pradhikaran 2. Proof that strong rep relationship drives sales.</t>
  </si>
  <si>
    <t>Dark chocolate gift purchase - 3 customers asked for Amul dark during visit.</t>
  </si>
  <si>
    <t>Three specific dark chocolate requests during this visit. Strong gifting demand signal.</t>
  </si>
  <si>
    <t>📓  DAILY FIELD DIARY — AMUL INTERNSHIP</t>
  </si>
  <si>
    <t>Fill this every evening after market visits — this becomes your internship report diary</t>
  </si>
  <si>
    <t>📅 Date</t>
  </si>
  <si>
    <t>10-Mar-2025</t>
  </si>
  <si>
    <t>🗺️ Areas Covered Today</t>
  </si>
  <si>
    <t>👤 Accompanied By (Rep Name)</t>
  </si>
  <si>
    <t>Distributor Rep - Pravin Patil</t>
  </si>
  <si>
    <t>🏪 Number of Outlets Visited</t>
  </si>
  <si>
    <t>10</t>
  </si>
  <si>
    <t>📦 Total Orders Collected</t>
  </si>
  <si>
    <t>~150 units (butter dominant)</t>
  </si>
  <si>
    <t>─── KEY OBSERVATIONS ───</t>
  </si>
  <si>
    <t>Observation 1</t>
  </si>
  <si>
    <t>Butter is the highest ordered product across all Akurdi outlets</t>
  </si>
  <si>
    <t>Observation 2</t>
  </si>
  <si>
    <t>Cadbury has provided free mini display fridges to bakeries - Amul chocolate invisible by comparison</t>
  </si>
  <si>
    <t>Observation 3</t>
  </si>
  <si>
    <t>Most dairy shops reluctant to stock Amul Shrikhand due to no expiry replacement policy</t>
  </si>
  <si>
    <t>─── PRODUCT INSIGHTS ───</t>
  </si>
  <si>
    <t>Best Selling Product Today</t>
  </si>
  <si>
    <t>Amul Butter 500g</t>
  </si>
  <si>
    <t>Slow Moving Product</t>
  </si>
  <si>
    <t>Amul Chocolate &amp; Shrikhand</t>
  </si>
  <si>
    <t>Out-of-Stock Issue Noted?</t>
  </si>
  <si>
    <t>Yes - Shrikhand near expiry at Khetlaji, R C Mart, Krushna Dudh Dairy</t>
  </si>
  <si>
    <t>─── COMPETITOR NOTES ───</t>
  </si>
  <si>
    <t>Competitor Brand Spotted</t>
  </si>
  <si>
    <t>Cadbury Dairy Milk, Go Cheese, Britannia Cheese, Chitale &amp; Warana Shrikhand</t>
  </si>
  <si>
    <t>Competitor Promotion / Offer Seen</t>
  </si>
  <si>
    <t>Cadbury offering free mini display fridges to retailers - strong cold chain visibility strategy</t>
  </si>
  <si>
    <t>─── SHOPKEEPER INSIGHTS ───</t>
  </si>
  <si>
    <t>Interesting thing a shopkeeper said</t>
  </si>
  <si>
    <t>Wagheshwar Dairy owner: Customers only ask for Chitale shrikhand by name - Amul name does not come up</t>
  </si>
  <si>
    <t>Complaint or concern raised</t>
  </si>
  <si>
    <t>4 outlets raised shrikhand expiry exchange issue - Amul not replacing expired stock on time</t>
  </si>
  <si>
    <t>─── PROBLEMS / CHALLENGES ───</t>
  </si>
  <si>
    <t>Supply / delivery issue</t>
  </si>
  <si>
    <t>Insufficient stock at some outlets; shrikhand expiry batches not collected</t>
  </si>
  <si>
    <t>Visibility / branding issue</t>
  </si>
  <si>
    <t>Cadbury providing display fridges free - Amul chocolate not visible at bakeries</t>
  </si>
  <si>
    <t>Other challenge</t>
  </si>
  <si>
    <t>Cheese spread and mozzarella not moving - retailers only interested in slice and cube</t>
  </si>
  <si>
    <t>─── MY LEARNING TODAY ───</t>
  </si>
  <si>
    <t>New thing I learnt</t>
  </si>
  <si>
    <t>Retail relationship is everything - rep knew every shopkeeper by name which helped push slow SKUs</t>
  </si>
  <si>
    <t>Question I want to find answer to</t>
  </si>
  <si>
    <t>Why does Amul not offer fridge display support similar to Cadbury for chocolate visibility?</t>
  </si>
  <si>
    <t>Action for tomorrow</t>
  </si>
  <si>
    <t>Visit Pradhikaran route next. Note every outlet where Cadbury fridge is placed vs Amul.</t>
  </si>
  <si>
    <t>📊  WEEKLY MARKET SUMMARY — AMUL INTERNSHIP</t>
  </si>
  <si>
    <t>Auto-summary from your daily tracker — update totals each week</t>
  </si>
  <si>
    <t>Outlets
Visited</t>
  </si>
  <si>
    <t>Orders
Collected</t>
  </si>
  <si>
    <t>Cheese
Orders</t>
  </si>
  <si>
    <t>Butter
Orders</t>
  </si>
  <si>
    <t>Choc.
Orders</t>
  </si>
  <si>
    <t>Shrikhand
Orders</t>
  </si>
  <si>
    <t>Week 1 (25–28 Feb)</t>
  </si>
  <si>
    <t>1st Akurdi + Pradhikaran 1 visits. EXPO 27-28 Feb. Shrikhand expiry issue identified.</t>
  </si>
  <si>
    <t>Week 2 (03–07 Mar)</t>
  </si>
  <si>
    <t>Pradhikaran 2 + Akurdi 2nd visit. Cadbury free-fridge strategy documented at 7+ outlets.</t>
  </si>
  <si>
    <t>Week 3 (10–14 Mar)</t>
  </si>
  <si>
    <t>Pradhikaran 1 &amp; 2 2nd visit. Cheese spread slow. Dark choc enquiry at 2 outlets.</t>
  </si>
  <si>
    <t>Week 4 (17–21 Mar)</t>
  </si>
  <si>
    <t>Full Akurdi 2nd cycle. Shrikhand defections confirmed. Kesar variant positive at Mamta Sweet.</t>
  </si>
  <si>
    <t>Week 5 (24–28 Mar)</t>
  </si>
  <si>
    <t>Final week: Pradhikaran 1 &amp; 2 2nd cycle complete. Bhagyalaxmi first chocolate order!</t>
  </si>
  <si>
    <t>TOTAL (3 Months)</t>
  </si>
  <si>
    <t>🔍  COMPETITOR SHELF TRACKER</t>
  </si>
  <si>
    <t>Track competitors across your 4 product categories at every outlet visit</t>
  </si>
  <si>
    <t>Competitor Brand</t>
  </si>
  <si>
    <t>Product
Category</t>
  </si>
  <si>
    <t>Price (₹)</t>
  </si>
  <si>
    <t>Shelf
Position</t>
  </si>
  <si>
    <t>Promo / Offer
Running?</t>
  </si>
  <si>
    <t>Your Note</t>
  </si>
  <si>
    <t>Chocolate</t>
  </si>
  <si>
    <t>Eye Level</t>
  </si>
  <si>
    <t>Free mini fridge by Cadbury. Prime counter position.</t>
  </si>
  <si>
    <t>Cadbury fridge eye level. Amul kept behind counter.</t>
  </si>
  <si>
    <t>Customer asks for Chitale by name. Amul shrikhand absent.</t>
  </si>
  <si>
    <t>Warana Shrikhand</t>
  </si>
  <si>
    <t>Both Chitale &amp; Warana present. Very strong local brand pull.</t>
  </si>
  <si>
    <t>Go Cheese Slice</t>
  </si>
  <si>
    <t>Below Eye Level</t>
  </si>
  <si>
    <t>Priced similar to Amul. Amul still outselling here.</t>
  </si>
  <si>
    <t>Cheese spread stronger than Amul spread variant.</t>
  </si>
  <si>
    <t>Cadbury display fridge provided free - very attractive.</t>
  </si>
  <si>
    <t>Sweet shop - Chitale dominant. Amul not stocked here.</t>
  </si>
  <si>
    <t>Amul slice still outselling Go Cheese at this outlet.</t>
  </si>
  <si>
    <t>No Cadbury fridge here - level field. Amul choc sells well.</t>
  </si>
  <si>
    <t>Cadbury free fridge. Amul choc on plain shelf - no visibility.</t>
  </si>
  <si>
    <t>Same Cadbury fridge pattern. Milkybar also present.</t>
  </si>
  <si>
    <t>Milkybar</t>
  </si>
  <si>
    <t>In same Cadbury fridge. Premium white chocolate - no Amul equivalent.</t>
  </si>
  <si>
    <t>Chitale outselling Amul shrikhand significantly.</t>
  </si>
  <si>
    <t>Cadbury Fruit &amp; Nut</t>
  </si>
  <si>
    <t>Amul Fruit &amp; Nut not stocked. Cadbury variant dominant.</t>
  </si>
  <si>
    <t>Go Cheese visible. Amul cheese spread not displayed well.</t>
  </si>
  <si>
    <t>Replaced Amul shrikhand with Chitale after expiry issue.</t>
  </si>
  <si>
    <t>Cadbury fridge again. Owner says Amul quality better but less visible.</t>
  </si>
  <si>
    <t>🥛  AMUL INTERNSHIP — NEW ROUTES TRACKER: AJMERA 1 | AJMERA 2 | KUNAL ICON 1 | KUNAL ICON 2 | PIMPRI GAON</t>
  </si>
  <si>
    <t>Data Source: Retailer Daywise Sales Report  |  Period: April 2026 – May 2026  |  Distributor: Basant Agency  |  Salesman: Roshanlal Yadav, Sachidanand Yadav</t>
  </si>
  <si>
    <t>⚠️  KEY ISSUES:  Expired shrikhand not replaced on time → retailers refusing orders  |  No Amul fridge → competitor fridges push Amul behind  |  May: less sales due to shopkeeper vacations  |  Chitale/Warana: better margin + timely expiry exchange</t>
  </si>
  <si>
    <t>Route / Area</t>
  </si>
  <si>
    <t>Order Value
(₹)</t>
  </si>
  <si>
    <t>Field
Observation</t>
  </si>
  <si>
    <t>14-Apr-26</t>
  </si>
  <si>
    <t>Go Cheese, Britannia, Chitale, Warana</t>
  </si>
  <si>
    <t>Refused to order shrikhand - expired stock not replaced on time by company. Fridge space wasted.</t>
  </si>
  <si>
    <t>Lost shrikhand customer. Competitor (Chitale/Warana) providing better margin + timely expiry exchange. No Amul fridge - competitor fridge pushes Amul product to back.</t>
  </si>
  <si>
    <t>MAMTA TRADERS</t>
  </si>
  <si>
    <t>Master Bake Foods</t>
  </si>
  <si>
    <t>Geeta Sup.Shopee.</t>
  </si>
  <si>
    <t>Go Cheese, Britannia, Cadbury, Chitale, Warana</t>
  </si>
  <si>
    <t>PANCHRATNA MART</t>
  </si>
  <si>
    <t>Stocking Amul shrikhand - small quantities. Concerned about expiry replacement delay.</t>
  </si>
  <si>
    <t>Shrikhand selling slowly vs Chitale/Warana. Competitor offers better margin and timely expiry replacement.</t>
  </si>
  <si>
    <t>MAHESH SUPER MARKET</t>
  </si>
  <si>
    <t>21-Apr-26</t>
  </si>
  <si>
    <t>MAHASHAKTI SUPER MARKET</t>
  </si>
  <si>
    <t>Faruq Bakery  Gen.Store</t>
  </si>
  <si>
    <t>Kiran Store</t>
  </si>
  <si>
    <t>PREM SUP MKT</t>
  </si>
  <si>
    <t>SMS GERMAN BAKERY</t>
  </si>
  <si>
    <t>Shree Jagnath Chemist and beauty centre</t>
  </si>
  <si>
    <t>Cadbury, Chitale, Warana</t>
  </si>
  <si>
    <t>28-Apr-26</t>
  </si>
  <si>
    <t>Girdhar Super Market</t>
  </si>
  <si>
    <t>Aai Mata Sup. shopee</t>
  </si>
  <si>
    <t>Sanjay Gen.Store</t>
  </si>
  <si>
    <t>Om Sup.Mkt</t>
  </si>
  <si>
    <t>Mamaji Sup.Mkt</t>
  </si>
  <si>
    <t>GOKUL MKT</t>
  </si>
  <si>
    <t>05-May-26</t>
  </si>
  <si>
    <t>Ishwar  Sup Mkt</t>
  </si>
  <si>
    <t>Sales lower in May - shopkeepers on vacation. Shrikhand: expired stock not replaced, shopkeeper refusing orders.</t>
  </si>
  <si>
    <t>May sales down. Route: Ajmera 1. Asking for Amul fridge - competitor brands provide fridge pushing Amul products behind.</t>
  </si>
  <si>
    <t>CREAMY DREAM ICECREAM HOUSE</t>
  </si>
  <si>
    <t>Sweet Shop</t>
  </si>
  <si>
    <t>Sales lower in May - shopkeepers on vacation. Small shrikhand order despite expiry concern.</t>
  </si>
  <si>
    <t>SUKHKARTA MILK AGENCY</t>
  </si>
  <si>
    <t>RAMESH SWEETS</t>
  </si>
  <si>
    <t>Bansal Sweet Mart</t>
  </si>
  <si>
    <t>SHARMA KIRANA  GENERAL STORE FLOUR</t>
  </si>
  <si>
    <t>12-May-26</t>
  </si>
  <si>
    <t>SMART LIFE MEDICAL</t>
  </si>
  <si>
    <t>Sanjay Pro  Gen Store</t>
  </si>
  <si>
    <t>Hans Sup.Mkt</t>
  </si>
  <si>
    <t>RAMDEV SUP MKT</t>
  </si>
  <si>
    <t>MAHALAXMI SUP MKT</t>
  </si>
  <si>
    <t>Vijay Medical and General Stores</t>
  </si>
  <si>
    <t>13-Apr-26</t>
  </si>
  <si>
    <t>SHIV SALES CORPORATION</t>
  </si>
  <si>
    <t>Lucky Gen.Store</t>
  </si>
  <si>
    <t>J.K ENTERPISES</t>
  </si>
  <si>
    <t>GARG TRADERS</t>
  </si>
  <si>
    <t>Rasrang</t>
  </si>
  <si>
    <t>BAKERS ZONE</t>
  </si>
  <si>
    <t>19-Apr-26</t>
  </si>
  <si>
    <t>NARESH TRADERS</t>
  </si>
  <si>
    <t>EDEN BAKERY</t>
  </si>
  <si>
    <t>EDEN BAKERY DIGHI</t>
  </si>
  <si>
    <t>MAHESH MART</t>
  </si>
  <si>
    <t>GEETA MINI MKT</t>
  </si>
  <si>
    <t>MATHURA SWEETS</t>
  </si>
  <si>
    <t>26-Apr-26</t>
  </si>
  <si>
    <t>SHIVDHAN DAIRY</t>
  </si>
  <si>
    <t>RAMESH SUP MKT</t>
  </si>
  <si>
    <t>HANS TRADERS</t>
  </si>
  <si>
    <t>BALAJI SUP MKT</t>
  </si>
  <si>
    <t>CROWN BEKARY</t>
  </si>
  <si>
    <t>MITESH MKT</t>
  </si>
  <si>
    <t>06-May-26</t>
  </si>
  <si>
    <t>POOJA SALES</t>
  </si>
  <si>
    <t>May sales down. Route: Ajmera 2. Asking for Amul fridge - competitor brands provide fridge pushing Amul products behind.</t>
  </si>
  <si>
    <t>NARENDRA SUP MKT</t>
  </si>
  <si>
    <t>CS RY</t>
  </si>
  <si>
    <t>MEDICARE CHEMIST  DRUGGIST</t>
  </si>
  <si>
    <t>ANAND COLD DRINKS</t>
  </si>
  <si>
    <t>MEDI POINT</t>
  </si>
  <si>
    <t>13-May-26</t>
  </si>
  <si>
    <t>ROYAL FOOD WORLD</t>
  </si>
  <si>
    <t>MADHUR SWEETS...</t>
  </si>
  <si>
    <t>MAMTA SWEETS</t>
  </si>
  <si>
    <t>RAM SUP MKT</t>
  </si>
  <si>
    <t>GEETA MEDICAL</t>
  </si>
  <si>
    <t>LAXMI GEN STORE</t>
  </si>
  <si>
    <t>15-Apr-26</t>
  </si>
  <si>
    <t>SUJIT DAIRY</t>
  </si>
  <si>
    <t>SLICE BYTES</t>
  </si>
  <si>
    <t>NOBLE BAZAR</t>
  </si>
  <si>
    <t>MAHALAXMI MEDICO AND SUPER SHOPEE</t>
  </si>
  <si>
    <t>22-Apr-26</t>
  </si>
  <si>
    <t>MAHADEV TRADING COMPANY</t>
  </si>
  <si>
    <t>AAIMATA SUP SHOPEE</t>
  </si>
  <si>
    <t>WELCOME FRESH MART</t>
  </si>
  <si>
    <t>DHANLAXMI SUP SHOPEE.</t>
  </si>
  <si>
    <t>29-Apr-26</t>
  </si>
  <si>
    <t>DILIP SANDWICH AND PIZZA  HOUSE</t>
  </si>
  <si>
    <t xml:space="preserve">Care Chemist and Druggist </t>
  </si>
  <si>
    <t>Shivraj Fresh Mart</t>
  </si>
  <si>
    <t>07-May-26</t>
  </si>
  <si>
    <t>SHIV SUP MKT</t>
  </si>
  <si>
    <t>May sales down. Route: Kunal Icon 1. Asking for Amul fridge - competitor brands provide fridge pushing Amul products behind.</t>
  </si>
  <si>
    <t>B MART</t>
  </si>
  <si>
    <t>JAI GANESH SUP MKT</t>
  </si>
  <si>
    <t>KRISHNA MEDICAL</t>
  </si>
  <si>
    <t>14-May-26</t>
  </si>
  <si>
    <t>Aarohi foods</t>
  </si>
  <si>
    <t>SHAKTI SUP SHOPEE</t>
  </si>
  <si>
    <t>ASHAPURI SUPER SHOP</t>
  </si>
  <si>
    <t>HANUMAN SUP SHOPEE</t>
  </si>
  <si>
    <t>Care Corner</t>
  </si>
  <si>
    <t>HANUMAN SUP MKT.</t>
  </si>
  <si>
    <t>R2G VENTURE</t>
  </si>
  <si>
    <t>PUNERI FRESH MART.</t>
  </si>
  <si>
    <t>G MART</t>
  </si>
  <si>
    <t>LALIT SUP SHOPEE</t>
  </si>
  <si>
    <t>L MART</t>
  </si>
  <si>
    <t>20-Apr-26</t>
  </si>
  <si>
    <t>SHRI KRISHNA BANGLORE IYANGARS BAKERY</t>
  </si>
  <si>
    <t>PUNERI SMART BAZAR</t>
  </si>
  <si>
    <t>DHANLAXMI MART</t>
  </si>
  <si>
    <t>MAHADEV KIRANA</t>
  </si>
  <si>
    <t>27-Apr-26</t>
  </si>
  <si>
    <t>PANCHRATNA SUP SHOPEE</t>
  </si>
  <si>
    <t>VIRAJ DUDH DAIRY</t>
  </si>
  <si>
    <t>AMAR TRADING</t>
  </si>
  <si>
    <t>DEEPAK SWEETS.</t>
  </si>
  <si>
    <t>May sales down. Route: Kunal Icon 2. Asking for Amul fridge - competitor brands provide fridge pushing Amul products behind.</t>
  </si>
  <si>
    <t>OM MART</t>
  </si>
  <si>
    <t>BALAJI SUPER SHOPEE</t>
  </si>
  <si>
    <t>SHRADHA SUP MKT</t>
  </si>
  <si>
    <t>HEALTH  HAPPINESS</t>
  </si>
  <si>
    <t>AARAV AND PARI ASSOCIATES</t>
  </si>
  <si>
    <t>LAXMI SUPER SHOPEE</t>
  </si>
  <si>
    <t>RAJ DELICIOUS SWEET</t>
  </si>
  <si>
    <t>SHRI BHAWANI SUP SHOPEE</t>
  </si>
  <si>
    <t>PUNE HEALTH CARE</t>
  </si>
  <si>
    <t>WELLNESS PHARMACY</t>
  </si>
  <si>
    <t>AAIJI MEDICO</t>
  </si>
  <si>
    <t>SHRI MAAN DAIRY</t>
  </si>
  <si>
    <t>POOJA SUP SHOPEE</t>
  </si>
  <si>
    <t>TIRATHDAS  CO...</t>
  </si>
  <si>
    <t>GANESH SWEETS</t>
  </si>
  <si>
    <t>Sachin Pro.Store</t>
  </si>
  <si>
    <t>SUJATA PROV.STORES</t>
  </si>
  <si>
    <t>Akash Pro. Gen.Store</t>
  </si>
  <si>
    <t>Jagdamba Sweet</t>
  </si>
  <si>
    <t>Kundan chemist and Druggist</t>
  </si>
  <si>
    <t>KAMAL ENTERPRISES</t>
  </si>
  <si>
    <t>SURESH GEN STORE</t>
  </si>
  <si>
    <t>Mayur Sup.Mkt</t>
  </si>
  <si>
    <t>May sales down. Route: Pimpri Gaon. Asking for Amul fridge - competitor brands provide fridge pushing Amul products behind.</t>
  </si>
  <si>
    <t>Durga Pro.Store</t>
  </si>
  <si>
    <t>Milan Sup.Mkt</t>
  </si>
  <si>
    <t>METRO CHEMIST AND FRESH MART</t>
  </si>
  <si>
    <t>sham gen stores</t>
  </si>
  <si>
    <t>OM GENERAL STORE</t>
  </si>
  <si>
    <t>Atul Pro.Store</t>
  </si>
  <si>
    <t>Sainath Provision</t>
  </si>
  <si>
    <t>Sarvagnya Grocery  Dairy products</t>
  </si>
  <si>
    <t>Shree Sai Daily Needs</t>
  </si>
  <si>
    <t>21-May-26</t>
  </si>
  <si>
    <t>Ambika Super Market</t>
  </si>
  <si>
    <t>Pimpri Gaon [Tue, Wed &amp; Fri]</t>
  </si>
  <si>
    <t>Newly added outlet. Large general store. Shrikhand refused due to expiry issue.</t>
  </si>
  <si>
    <t>High potential outlet. Amul branding absent. Amul fridge requested.</t>
  </si>
  <si>
    <t>Pandurang Medical &amp; General Stores</t>
  </si>
  <si>
    <t>Newly added. Old Kate Pimple Road. Currently stocks chocolate only.</t>
  </si>
  <si>
    <t>Medical+General combo. Butter/cheese expansion opportunity.</t>
  </si>
  <si>
    <t>Chaat Adda</t>
  </si>
  <si>
    <t>Kunal Icon 1 [Mon &amp; Thu]</t>
  </si>
  <si>
    <t>Newly added. Franchise restaurant. Uses Amul butter &amp; cheese for food prep. High footfall.</t>
  </si>
  <si>
    <t>HoReCa outlet. Bulk butter/cheese potential. Amul branding opportunity inside.</t>
  </si>
  <si>
    <t>📊  ROUTE-WISE SALES SUMMARY — APRIL &amp; MAY 2026</t>
  </si>
  <si>
    <t>Source: Basant Agency — Retailer Daywise Sales Report (April 2026 &amp; May 2026 partial)</t>
  </si>
  <si>
    <t>April Sales (₹)</t>
  </si>
  <si>
    <t>May Sales (₹)</t>
  </si>
  <si>
    <t>Butter Apr (₹)</t>
  </si>
  <si>
    <t>Cheese Apr (₹)</t>
  </si>
  <si>
    <t>Shrikhand Apr (₹)</t>
  </si>
  <si>
    <t>Key Issue</t>
  </si>
  <si>
    <t>Shrikhand nearly absent (₹3,972 vs ₹363K butter). 30 retailers - most refusing shrikhand due to no expiry replacement.</t>
  </si>
  <si>
    <t>Highest value route. Shrikhand only ₹1,239 of ₹1.4L. Lucky Gen.Store &amp; Shiv Sales Corp dominate. May sales still strong.</t>
  </si>
  <si>
    <t>Sujit Dairy &amp; Slice Bytes top outlets. Shrikhand very low. No Amul fridge - competitor fridges dominant.</t>
  </si>
  <si>
    <t>Best shrikhand performance (₹7,733) - but still very low. Puneri Fresh Mart top outlet. May sales drop noted.</t>
  </si>
  <si>
    <t>Smallest route. Shri Maan Dairy &amp; Pooja Sup Shopee top outlets. May: major sales drop - shopkeepers on vacation.</t>
  </si>
  <si>
    <t>Shrikhand = only 0.7% of total April sales. Core issue: expiry replacement + no Amul fridge + competitor margin gap.</t>
  </si>
  <si>
    <t>🔍  FIELD ISSUES &amp; OBSERVATIONS — NEW ROUTES (APR-MAY 2026)</t>
  </si>
  <si>
    <t>ISSUE</t>
  </si>
  <si>
    <t>DETAIL</t>
  </si>
  <si>
    <t>1. Shrikhand Expiry Not Replaced</t>
  </si>
  <si>
    <t>Company not replacing expired Amul shrikhand on time. Expired stock sits in shopkeeper's fridge, blocking space for new orders. Shopkeepers across all 5 routes — Ajmera 1&amp;2, Kunal Icon 1&amp;2, Pimpri Gaon — are refusing further shrikhand orders because of this. Competitor Chitale and Warana replace expired stock promptly, making them the preferred choice.</t>
  </si>
  <si>
    <t>2. No Amul Fridge on Route</t>
  </si>
  <si>
    <t>Most outlets on these new routes do not have an Amul branded fridge. Competitor brands (Cadbury, Chitale, Mother Dairy) provide their own fridges to retailers. Since competitor fridge is placed at eye level, Amul products are pushed to the back or less visible shelf position. This directly reduces impulse purchase of chocolate and shrikhand.</t>
  </si>
  <si>
    <t>3. May Sales Drop — Shopkeeper Vacations</t>
  </si>
  <si>
    <t>In the first week of May 2026, many shopkeepers went on vacation (summer/religious holiday season), leading to significantly lower orders across all routes. Ajmera 2 dropped from ₹1.39L (April) to ₹1.10L (May). Pimpri Gaon dropped from ₹1.03L to ₹59,560. This is a seasonal pattern and expected to recover mid-May.</t>
  </si>
  <si>
    <t>4. Competitor Margin Advantage — Shrikhand</t>
  </si>
  <si>
    <t>Chitale and Warana offer shopkeepers a higher margin on shrikhand compared to Amul. Combined with timely expiry exchange, taste preference for local brands, and better brand recall in Pune/Pimpri area, Amul shrikhand is almost absent on these routes. Shrikhand = only ₹18,228 of ₹25.57L total April sales (0.7%).</t>
  </si>
  <si>
    <t>5. Taste &amp; Brand Loyalty — Shrikhand</t>
  </si>
  <si>
    <t>Local consumers in Pimpri-Chinchwad prefer Chitale and Warana shrikhand due to stronger regional brand identity, fresh taste perception, and wider variant availability. Amul shrikhand is seen as secondary option, purchased only when local brands are unavailable.</t>
  </si>
  <si>
    <t>6. Ajmera 2 — Wholesale Concentration Risk</t>
  </si>
  <si>
    <t>Ajmera 2 shows very high concentration risk: Lucky Gen.Store (₹3.37L), Shiv Sales Corporation (₹3.63L), and J.K. Enterprises (₹2.92L) account for ~85% of route sales. Any issue with these 3 accounts would severely impact route performance.</t>
  </si>
  <si>
    <t>7. Kunal Icon Routes — Fridge Gap</t>
  </si>
  <si>
    <t>Kunal Icon 1 &amp; 2 have outlets like Sujit Dairy, Slice Bytes, Puneri Fresh Mart, and G Mart that could benefit from an Amul fridge. These are high-value outlets (₹70K+ each in April). Without Amul fridge, chocolate and shrikhand display is inferior to competitors.</t>
  </si>
  <si>
    <t>RECOMMENDATION</t>
  </si>
  <si>
    <t>R1. Immediate: Fix Shrikhand Expiry Exchange</t>
  </si>
  <si>
    <t>Implement a strict SLA for expired shrikhand collection and replacement within 2-3 days of expiry. This is the single biggest barrier to shrikhand sales on all new routes. Immediate action can recover 10-15 outlets that have stopped ordering.</t>
  </si>
  <si>
    <t>R2. Provide Amul Fridges to Key Outlets</t>
  </si>
  <si>
    <t>Target top 5 outlets per route for Amul branded fridge placement (similar to Cadbury's strategy). Priority: Sujit Dairy, Slice Bytes, Puneri Fresh Mart, G Mart, Noble Bazar, MAMTA TRADERS.</t>
  </si>
  <si>
    <t>R3. Shrikhand Margin Review</t>
  </si>
  <si>
    <t>Review and increase retailer margin on Amul shrikhand to match or exceed Chitale/Warana. Even a 2-3% higher margin can reverse the trend on these routes.</t>
  </si>
  <si>
    <t>R4. May Vacation Period Management</t>
  </si>
  <si>
    <t>Plan reduced stock delivery in early May and shift push to late May when shopkeepers return. Avoid over-stocking during vacation weeks to prevent further expiry issues.</t>
  </si>
  <si>
    <t>R5. Ajmera 2 Wholesale Account Management</t>
  </si>
  <si>
    <t>Assign dedicated relationship manager or extra visits to Lucky Gen.Store, Shiv Sales Corp, J.K. Enterprises. These 3 accounts alone drive ₹9.9L/month revenue.</t>
  </si>
  <si>
    <t>🆕  NEW OUTLETS ADDED — MAY 21, 2026</t>
  </si>
  <si>
    <t>Field photos captured during visit | 3 outlets added to tracker: Ambika Super Mkt + Pandurang Medical + Chaat Adda</t>
  </si>
  <si>
    <t>OUTLET 1 — AMBIKA SUPER MARKET   (Image 1)</t>
  </si>
  <si>
    <t>Address</t>
  </si>
  <si>
    <t>Pimpri Gaon, Pune</t>
  </si>
  <si>
    <t>Cheese ✓</t>
  </si>
  <si>
    <t>Butter ✓</t>
  </si>
  <si>
    <t>Chocolate ✓</t>
  </si>
  <si>
    <t>Shrikhand ✓</t>
  </si>
  <si>
    <t>Order Qty</t>
  </si>
  <si>
    <t>Fridge</t>
  </si>
  <si>
    <t>Amul Branding</t>
  </si>
  <si>
    <t>Competitors</t>
  </si>
  <si>
    <t>📋 Observation</t>
  </si>
  <si>
    <t>Large general store with strong footfall and good FMCG product range. Stocks Amul cheese, butter &amp; chocolate already. Shrikhand refused citing expired stock not being collected on time. Currently has own fridge but no Amul branding. High potential outlet — requesting Amul-branded display unit. Durga Mata branding on shopfront indicates local community trust.</t>
  </si>
  <si>
    <t>✅ Action</t>
  </si>
  <si>
    <t>Fix shrikhand expiry exchange → immediate reintroduction. Install Amul POP/branding. Pitch Amul fridge on next visit.</t>
  </si>
  <si>
    <t>OUTLET 2 — PANDURANG MEDICAL &amp; GENERAL STORES   (Image 2)</t>
  </si>
  <si>
    <t>Old Kate Pimple Road, Pimprigaon, Pune - 411017  |  Mob: 9730045837</t>
  </si>
  <si>
    <t>Cadbury Dairy Milk, Chitale, Warana</t>
  </si>
  <si>
    <t>Combined medical &amp; general store on Old Kate Pimple Road — main arterial road with high footfall. Currently only stocks Amul chocolate as impulse purchase near billing counter (classic Bindaas bar pattern seen at other medical shops). No butter or cheese stocked yet. Classic entry opportunity — start with butter 100g/200g as adjacent FMCG product.</t>
  </si>
  <si>
    <t>Add Amul Butter 100g/200g to billing counter range. Introduce Bindaas bar + Amul Milk Chocolate impulse SKUs. Follow up in 2 visits.</t>
  </si>
  <si>
    <t>OUTLET 3 — CHAAT ADDA   (Image 3)</t>
  </si>
  <si>
    <t>Kunal Icon 1, Pimpri-Chinchwad, Pune  |  Franchise: Yappytasty Food Hub Pvt. Ltd.</t>
  </si>
  <si>
    <t>Cadbury (chocolate), Chitale/Warana (shrikhand potential)</t>
  </si>
  <si>
    <t>Chaat Adda is a vibrant franchise restaurant serving chaat specialties, pizza, Chinese, sandwiches &amp; mocktails. Located inside Kunal Icon 1 residential complex — exceptionally high daily footfall from apartment residents. Currently uses Amul Butter &amp; Cheese Slice for food preparation (confirmed B2B/HoReCa purchase). Modern, well-branded outlet with outdoor seating. Excellent candidate for bulk institutional supply — consumption will be consistent and high-volume.</t>
  </si>
  <si>
    <t>HoReCa priority: Pitch bulk Amul Butter 500g/1kg. Explore Cheese Slice for sandwiches. Propose Amul branding inside outlet. Visit during peak dinner hours for better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</si>
</sst>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charset val="1"/>
    </font>
    <font>
      <b/>
      <sz val="17"/>
      <color rgb="FFFFFFFF"/>
      <name val="Arial"/>
      <charset val="1"/>
    </font>
    <font>
      <i/>
      <sz val="9"/>
      <color rgb="FFFFFFFF"/>
      <name val="Arial"/>
      <charset val="1"/>
    </font>
    <font>
      <i/>
      <sz val="9"/>
      <color rgb="FF1F4E79"/>
      <name val="Arial"/>
      <charset val="1"/>
    </font>
    <font>
      <b/>
      <sz val="11"/>
      <color rgb="FFFFFFFF"/>
      <name val="Arial"/>
      <charset val="1"/>
    </font>
    <font>
      <b/>
      <sz val="9"/>
      <color rgb="FFFFFFFF"/>
      <name val="Arial"/>
      <charset val="1"/>
    </font>
    <font>
      <sz val="9"/>
      <color rgb="FF000000"/>
      <name val="Arial"/>
      <charset val="1"/>
    </font>
    <font>
      <b/>
      <sz val="8"/>
      <color rgb="FF1F4E79"/>
      <name val="Arial"/>
      <charset val="1"/>
    </font>
    <font>
      <b/>
      <sz val="15"/>
      <color rgb="FF1F4E79"/>
      <name val="Arial"/>
      <charset val="1"/>
    </font>
    <font>
      <sz val="9"/>
      <color rgb="FFC00000"/>
      <name val="Arial"/>
      <charset val="1"/>
    </font>
    <font>
      <b/>
      <sz val="8"/>
      <color rgb="FFFFFFFF"/>
      <name val="Arial"/>
      <charset val="1"/>
    </font>
    <font>
      <sz val="8"/>
      <color rgb="FF000000"/>
      <name val="Arial"/>
      <charset val="1"/>
    </font>
    <font>
      <b/>
      <sz val="14"/>
      <color rgb="FFFFFFFF"/>
      <name val="Arial"/>
      <charset val="1"/>
    </font>
    <font>
      <sz val="10"/>
      <color rgb="FF1A1A2E"/>
      <name val="Arial"/>
      <charset val="1"/>
    </font>
    <font>
      <b/>
      <sz val="15"/>
      <color rgb="FFFFFFFF"/>
      <name val="Arial"/>
      <charset val="1"/>
    </font>
    <font>
      <sz val="10"/>
      <color rgb="FF555555"/>
      <name val="Arial"/>
      <charset val="1"/>
    </font>
    <font>
      <b/>
      <sz val="9"/>
      <name val="Arial"/>
      <charset val="1"/>
    </font>
    <font>
      <sz val="9"/>
      <name val="Arial"/>
      <charset val="1"/>
    </font>
    <font>
      <i/>
      <sz val="10"/>
      <color rgb="FF555555"/>
      <name val="Arial"/>
      <charset val="1"/>
    </font>
    <font>
      <b/>
      <sz val="10"/>
      <color rgb="FF1A1A2E"/>
      <name val="Arial"/>
      <charset val="1"/>
    </font>
    <font>
      <sz val="10"/>
      <name val="Arial"/>
      <charset val="1"/>
    </font>
    <font>
      <b/>
      <sz val="10"/>
      <color rgb="FFFFFFFF"/>
      <name val="Arial"/>
      <charset val="1"/>
    </font>
    <font>
      <b/>
      <sz val="9"/>
      <color rgb="FFC8102E"/>
      <name val="Arial"/>
      <charset val="1"/>
    </font>
    <font>
      <b/>
      <sz val="10"/>
      <color rgb="FFC8102E"/>
      <name val="Arial"/>
      <charset val="1"/>
    </font>
    <font>
      <b/>
      <sz val="13"/>
      <color rgb="FFFFFFFF"/>
      <name val="Arial"/>
      <charset val="1"/>
    </font>
    <font>
      <i/>
      <sz val="9"/>
      <color rgb="FF444444"/>
      <name val="Arial"/>
      <charset val="1"/>
    </font>
    <font>
      <b/>
      <sz val="9"/>
      <color rgb="FFC0392B"/>
      <name val="Arial"/>
      <charset val="1"/>
    </font>
    <font>
      <b/>
      <sz val="16"/>
      <color rgb="FFFFFFFF"/>
      <name val="Arial"/>
      <charset val="1"/>
    </font>
    <font>
      <b/>
      <sz val="12"/>
      <color rgb="FFFFFFFF"/>
      <name val="Arial"/>
      <charset val="1"/>
    </font>
    <font>
      <b/>
      <sz val="9"/>
      <color rgb="FF1F4E79"/>
      <name val="Arial"/>
      <charset val="1"/>
    </font>
    <font>
      <b/>
      <sz val="9"/>
      <color rgb="FFC55A11"/>
      <name val="Arial"/>
      <charset val="1"/>
    </font>
  </fonts>
  <fills count="40">
    <fill>
      <patternFill patternType="none"/>
    </fill>
    <fill>
      <patternFill patternType="gray125"/>
    </fill>
    <fill>
      <patternFill patternType="solid">
        <fgColor rgb="FF1F4E79"/>
        <bgColor rgb="FF1B4F72"/>
      </patternFill>
    </fill>
    <fill>
      <patternFill patternType="solid">
        <fgColor rgb="FF2E75B6"/>
        <bgColor rgb="FF0070C0"/>
      </patternFill>
    </fill>
    <fill>
      <patternFill patternType="solid">
        <fgColor rgb="FFBDD7EE"/>
        <bgColor rgb="FFBBDEFB"/>
      </patternFill>
    </fill>
    <fill>
      <patternFill patternType="solid">
        <fgColor rgb="FFF2F2F2"/>
        <bgColor rgb="FFF2F3F4"/>
      </patternFill>
    </fill>
    <fill>
      <patternFill patternType="solid">
        <fgColor rgb="FFE2EFDA"/>
        <bgColor rgb="FFE8F5E9"/>
      </patternFill>
    </fill>
    <fill>
      <patternFill patternType="solid">
        <fgColor rgb="FFFFF2CC"/>
        <bgColor rgb="FFFFF9C4"/>
      </patternFill>
    </fill>
    <fill>
      <patternFill patternType="solid">
        <fgColor rgb="FFFFE7E7"/>
        <bgColor rgb="FFFDECEA"/>
      </patternFill>
    </fill>
    <fill>
      <patternFill patternType="solid">
        <fgColor rgb="FFC8102E"/>
        <bgColor rgb="FFC00000"/>
      </patternFill>
    </fill>
    <fill>
      <patternFill patternType="solid">
        <fgColor rgb="FFFEF9ED"/>
        <bgColor rgb="FFFFF8E7"/>
      </patternFill>
    </fill>
    <fill>
      <patternFill patternType="solid">
        <fgColor rgb="FFFFF8E7"/>
        <bgColor rgb="FFFFF8E1"/>
      </patternFill>
    </fill>
    <fill>
      <patternFill patternType="solid">
        <fgColor rgb="FF2C3E50"/>
        <bgColor rgb="FF444444"/>
      </patternFill>
    </fill>
    <fill>
      <patternFill patternType="solid">
        <fgColor rgb="FFFFFFFF"/>
        <bgColor rgb="FFFEF9ED"/>
      </patternFill>
    </fill>
    <fill>
      <patternFill patternType="solid">
        <fgColor rgb="FFF5A623"/>
        <bgColor rgb="FFC55A11"/>
      </patternFill>
    </fill>
    <fill>
      <patternFill patternType="solid">
        <fgColor rgb="FF1A1A2E"/>
        <bgColor rgb="FF1B2631"/>
      </patternFill>
    </fill>
    <fill>
      <patternFill patternType="solid">
        <fgColor rgb="FF1B4F72"/>
        <bgColor rgb="FF1F4E79"/>
      </patternFill>
    </fill>
    <fill>
      <patternFill patternType="solid">
        <fgColor rgb="FF145A32"/>
        <bgColor rgb="FF1B4F72"/>
      </patternFill>
    </fill>
    <fill>
      <patternFill patternType="solid">
        <fgColor rgb="FF4A235A"/>
        <bgColor rgb="FF444444"/>
      </patternFill>
    </fill>
    <fill>
      <patternFill patternType="solid">
        <fgColor rgb="FF7B241C"/>
        <bgColor rgb="FF784212"/>
      </patternFill>
    </fill>
    <fill>
      <patternFill patternType="solid">
        <fgColor rgb="FF784212"/>
        <bgColor rgb="FF7B241C"/>
      </patternFill>
    </fill>
    <fill>
      <patternFill patternType="solid">
        <fgColor rgb="FF1B2631"/>
        <bgColor rgb="FF1A1A2E"/>
      </patternFill>
    </fill>
    <fill>
      <patternFill patternType="solid">
        <fgColor rgb="FFF2F3F4"/>
        <bgColor rgb="FFF2F2F2"/>
      </patternFill>
    </fill>
    <fill>
      <patternFill patternType="solid">
        <fgColor rgb="FFEBF5FB"/>
        <bgColor rgb="FFE8F4FD"/>
      </patternFill>
    </fill>
    <fill>
      <patternFill patternType="solid">
        <fgColor rgb="FFC0392B"/>
        <bgColor rgb="FFC55A11"/>
      </patternFill>
    </fill>
    <fill>
      <patternFill patternType="solid">
        <fgColor rgb="FF0070C0"/>
        <bgColor rgb="FF008080"/>
      </patternFill>
    </fill>
    <fill>
      <patternFill patternType="solid">
        <fgColor rgb="FFFFF3E0"/>
        <bgColor rgb="FFFFF8E1"/>
      </patternFill>
    </fill>
    <fill>
      <patternFill patternType="solid">
        <fgColor rgb="FFFFE0B2"/>
        <bgColor rgb="FFFFF2CC"/>
      </patternFill>
    </fill>
    <fill>
      <patternFill patternType="solid">
        <fgColor rgb="FFE8F5E9"/>
        <bgColor rgb="FFEAF7EA"/>
      </patternFill>
    </fill>
    <fill>
      <patternFill patternType="solid">
        <fgColor rgb="FFC8E6C9"/>
        <bgColor rgb="FFE2EFDA"/>
      </patternFill>
    </fill>
    <fill>
      <patternFill patternType="solid">
        <fgColor rgb="FFE3F2FD"/>
        <bgColor rgb="FFE8F4FD"/>
      </patternFill>
    </fill>
    <fill>
      <patternFill patternType="solid">
        <fgColor rgb="FFBBDEFB"/>
        <bgColor rgb="FFBDD7EE"/>
      </patternFill>
    </fill>
    <fill>
      <patternFill patternType="solid">
        <fgColor rgb="FFE1BEE7"/>
        <bgColor rgb="FFCCCCCC"/>
      </patternFill>
    </fill>
    <fill>
      <patternFill patternType="solid">
        <fgColor rgb="FFF3E5F5"/>
        <bgColor rgb="FFFFE7E7"/>
      </patternFill>
    </fill>
    <fill>
      <patternFill patternType="solid">
        <fgColor rgb="FFFFF9C4"/>
        <bgColor rgb="FFFFF2CC"/>
      </patternFill>
    </fill>
    <fill>
      <patternFill patternType="solid">
        <fgColor rgb="FFFFF8E1"/>
        <bgColor rgb="FFFFF8E7"/>
      </patternFill>
    </fill>
    <fill>
      <patternFill patternType="solid">
        <fgColor rgb="FFFDECEA"/>
        <bgColor rgb="FFFFE7E7"/>
      </patternFill>
    </fill>
    <fill>
      <patternFill patternType="solid">
        <fgColor rgb="FFE9F0F8"/>
        <bgColor rgb="FFE8F4FD"/>
      </patternFill>
    </fill>
    <fill>
      <patternFill patternType="solid">
        <fgColor rgb="FFE8F4FD"/>
        <bgColor rgb="FFEBF5FB"/>
      </patternFill>
    </fill>
    <fill>
      <patternFill patternType="solid">
        <fgColor rgb="FFEAF7EA"/>
        <bgColor rgb="FFE8F5E9"/>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58">
    <xf numFmtId="0" fontId="0" fillId="0" borderId="0" xfId="0"/>
    <xf numFmtId="0" fontId="15" fillId="11" borderId="0" xfId="0" applyFont="1" applyFill="1" applyBorder="1" applyAlignment="1">
      <alignment horizontal="center" vertical="center"/>
    </xf>
    <xf numFmtId="0" fontId="14" fillId="9" borderId="0" xfId="0" applyFont="1" applyFill="1" applyBorder="1" applyAlignment="1">
      <alignment horizontal="center" vertical="center"/>
    </xf>
    <xf numFmtId="0" fontId="4" fillId="12" borderId="1" xfId="0" applyFont="1" applyFill="1" applyBorder="1" applyAlignment="1">
      <alignment horizontal="left" vertical="center" indent="1"/>
    </xf>
    <xf numFmtId="0" fontId="12" fillId="9" borderId="0" xfId="0" applyFont="1" applyFill="1" applyBorder="1" applyAlignment="1">
      <alignment horizontal="center" vertical="center"/>
    </xf>
    <xf numFmtId="0" fontId="8" fillId="7" borderId="0" xfId="0" applyFont="1" applyFill="1" applyBorder="1" applyAlignment="1">
      <alignment horizontal="center" vertical="center"/>
    </xf>
    <xf numFmtId="0" fontId="8" fillId="6" borderId="0" xfId="0" applyFont="1" applyFill="1" applyBorder="1" applyAlignment="1">
      <alignment horizontal="center" vertical="center"/>
    </xf>
    <xf numFmtId="0" fontId="8" fillId="4" borderId="0" xfId="0" applyFont="1" applyFill="1" applyBorder="1" applyAlignment="1">
      <alignment horizontal="center" vertical="center"/>
    </xf>
    <xf numFmtId="0" fontId="7" fillId="7" borderId="0" xfId="0" applyFont="1" applyFill="1" applyBorder="1" applyAlignment="1">
      <alignment horizontal="center" vertical="center" wrapText="1"/>
    </xf>
    <xf numFmtId="0" fontId="7" fillId="6" borderId="0" xfId="0" applyFont="1" applyFill="1" applyBorder="1" applyAlignment="1">
      <alignment horizontal="center" vertical="center" wrapText="1"/>
    </xf>
    <xf numFmtId="0" fontId="7" fillId="4" borderId="0" xfId="0" applyFont="1" applyFill="1" applyBorder="1" applyAlignment="1">
      <alignment horizontal="center" vertical="center" wrapText="1"/>
    </xf>
    <xf numFmtId="0" fontId="4" fillId="3" borderId="0" xfId="0" applyFont="1" applyFill="1" applyBorder="1" applyAlignment="1">
      <alignment horizontal="center" vertical="center"/>
    </xf>
    <xf numFmtId="0" fontId="3" fillId="4" borderId="0" xfId="0" applyFont="1" applyFill="1" applyBorder="1" applyAlignment="1">
      <alignment horizontal="center" vertical="center"/>
    </xf>
    <xf numFmtId="0" fontId="2" fillId="3" borderId="0" xfId="0" applyFont="1" applyFill="1" applyBorder="1" applyAlignment="1">
      <alignment horizontal="center" vertical="center"/>
    </xf>
    <xf numFmtId="0" fontId="1" fillId="2" borderId="0" xfId="0" applyFont="1" applyFill="1" applyBorder="1" applyAlignment="1">
      <alignment horizontal="center" vertical="center"/>
    </xf>
    <xf numFmtId="0" fontId="5" fillId="2"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0" borderId="1" xfId="0" applyFont="1" applyBorder="1" applyAlignment="1">
      <alignment horizontal="center" vertical="center"/>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2"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11" fillId="5" borderId="1" xfId="0" applyFont="1" applyFill="1" applyBorder="1" applyAlignment="1">
      <alignment horizontal="left" vertical="center" wrapText="1"/>
    </xf>
    <xf numFmtId="0" fontId="11" fillId="0" borderId="1" xfId="0" applyFont="1" applyBorder="1" applyAlignment="1">
      <alignment horizontal="center" vertical="center"/>
    </xf>
    <xf numFmtId="0" fontId="11" fillId="0" borderId="1" xfId="0" applyFont="1" applyBorder="1" applyAlignment="1">
      <alignment horizontal="left" vertical="center" wrapText="1"/>
    </xf>
    <xf numFmtId="0" fontId="10" fillId="3" borderId="1" xfId="0" applyFont="1" applyFill="1" applyBorder="1" applyAlignment="1">
      <alignment horizontal="center" vertical="center"/>
    </xf>
    <xf numFmtId="0" fontId="10" fillId="3" borderId="1" xfId="0" applyFont="1" applyFill="1" applyBorder="1" applyAlignment="1">
      <alignment horizontal="left" vertical="center" wrapText="1"/>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6" borderId="1" xfId="0" applyFont="1" applyFill="1" applyBorder="1" applyAlignment="1">
      <alignment horizontal="center" vertical="center"/>
    </xf>
    <xf numFmtId="0" fontId="11" fillId="8" borderId="1" xfId="0" applyFont="1" applyFill="1" applyBorder="1" applyAlignment="1">
      <alignment horizontal="center" vertical="center" wrapText="1"/>
    </xf>
    <xf numFmtId="0" fontId="11" fillId="8" borderId="1" xfId="0" applyFont="1" applyFill="1" applyBorder="1" applyAlignment="1">
      <alignment horizontal="left" vertical="center" wrapText="1"/>
    </xf>
    <xf numFmtId="0" fontId="11" fillId="7" borderId="1" xfId="0" applyFont="1" applyFill="1" applyBorder="1" applyAlignment="1">
      <alignment horizontal="center" vertical="center" wrapText="1"/>
    </xf>
    <xf numFmtId="0" fontId="11" fillId="7" borderId="1" xfId="0" applyFont="1" applyFill="1" applyBorder="1" applyAlignment="1">
      <alignment horizontal="left" vertical="center" wrapText="1"/>
    </xf>
    <xf numFmtId="0" fontId="11" fillId="6" borderId="1" xfId="0" applyFont="1" applyFill="1" applyBorder="1" applyAlignment="1">
      <alignment horizontal="center" vertical="center" wrapText="1"/>
    </xf>
    <xf numFmtId="0" fontId="11" fillId="6" borderId="1" xfId="0" applyFont="1" applyFill="1" applyBorder="1" applyAlignment="1">
      <alignment horizontal="left" vertical="center" wrapText="1"/>
    </xf>
    <xf numFmtId="0" fontId="0" fillId="10" borderId="0" xfId="0" applyFill="1"/>
    <xf numFmtId="0" fontId="13" fillId="11" borderId="1" xfId="0" applyFont="1" applyFill="1" applyBorder="1" applyAlignment="1">
      <alignment horizontal="left" vertical="center" wrapText="1" indent="1"/>
    </xf>
    <xf numFmtId="0" fontId="13" fillId="13" borderId="1" xfId="0" applyFont="1" applyFill="1" applyBorder="1" applyAlignment="1">
      <alignment horizontal="left" vertical="center" wrapText="1" indent="1"/>
    </xf>
    <xf numFmtId="0" fontId="5" fillId="15" borderId="1" xfId="0" applyFont="1" applyFill="1" applyBorder="1" applyAlignment="1">
      <alignment horizontal="center" vertical="center" wrapText="1"/>
    </xf>
    <xf numFmtId="0" fontId="5" fillId="16"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5" fillId="19" borderId="1" xfId="0" applyFont="1" applyFill="1" applyBorder="1" applyAlignment="1">
      <alignment horizontal="center" vertical="center" wrapText="1"/>
    </xf>
    <xf numFmtId="0" fontId="5" fillId="20" borderId="1" xfId="0" applyFont="1" applyFill="1" applyBorder="1" applyAlignment="1">
      <alignment horizontal="center" vertical="center" wrapText="1"/>
    </xf>
    <xf numFmtId="0" fontId="5" fillId="21"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17" fillId="13" borderId="1" xfId="0" applyFont="1" applyFill="1" applyBorder="1" applyAlignment="1">
      <alignment horizontal="center" vertical="center"/>
    </xf>
    <xf numFmtId="0" fontId="17" fillId="13" borderId="1" xfId="0" applyFont="1" applyFill="1" applyBorder="1" applyAlignment="1">
      <alignment horizontal="left" vertical="center" wrapText="1"/>
    </xf>
    <xf numFmtId="0" fontId="17" fillId="13"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7" fillId="10" borderId="1" xfId="0" applyFont="1" applyFill="1" applyBorder="1" applyAlignment="1">
      <alignment horizontal="center" vertical="center"/>
    </xf>
    <xf numFmtId="0" fontId="17" fillId="10" borderId="1" xfId="0" applyFont="1" applyFill="1" applyBorder="1" applyAlignment="1">
      <alignment horizontal="left" vertical="center" wrapText="1"/>
    </xf>
    <xf numFmtId="0" fontId="17" fillId="10" borderId="1" xfId="0" applyFont="1" applyFill="1" applyBorder="1" applyAlignment="1">
      <alignment horizontal="center" vertical="center" wrapText="1"/>
    </xf>
    <xf numFmtId="0" fontId="19" fillId="10" borderId="1" xfId="0" applyFont="1" applyFill="1" applyBorder="1" applyAlignment="1">
      <alignment horizontal="left" vertical="center" indent="1"/>
    </xf>
    <xf numFmtId="0" fontId="20" fillId="13" borderId="1" xfId="0" applyFont="1" applyFill="1" applyBorder="1" applyAlignment="1">
      <alignment horizontal="left" vertical="center" wrapText="1"/>
    </xf>
    <xf numFmtId="0" fontId="0" fillId="22" borderId="0" xfId="0" applyFill="1"/>
    <xf numFmtId="0" fontId="21" fillId="15" borderId="1" xfId="0" applyFont="1" applyFill="1" applyBorder="1" applyAlignment="1">
      <alignment horizontal="center" vertical="center" wrapText="1"/>
    </xf>
    <xf numFmtId="0" fontId="22" fillId="13"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6" fillId="13" borderId="1" xfId="0" applyFont="1" applyFill="1" applyBorder="1" applyAlignment="1">
      <alignment horizontal="left" vertical="center" wrapText="1"/>
    </xf>
    <xf numFmtId="0" fontId="22" fillId="10"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center" wrapText="1"/>
    </xf>
    <xf numFmtId="0" fontId="23" fillId="13" borderId="1" xfId="0" applyFont="1" applyFill="1" applyBorder="1" applyAlignment="1">
      <alignment horizontal="center" vertical="center"/>
    </xf>
    <xf numFmtId="0" fontId="21" fillId="9" borderId="1" xfId="0" applyFont="1" applyFill="1" applyBorder="1" applyAlignment="1">
      <alignment horizontal="center" vertical="center"/>
    </xf>
    <xf numFmtId="0" fontId="21" fillId="12" borderId="1" xfId="0" applyFont="1" applyFill="1" applyBorder="1" applyAlignment="1">
      <alignment horizontal="center" vertical="center" wrapText="1"/>
    </xf>
    <xf numFmtId="0" fontId="17" fillId="23" borderId="1" xfId="0" applyFont="1" applyFill="1" applyBorder="1" applyAlignment="1">
      <alignment horizontal="left" vertical="center" wrapText="1"/>
    </xf>
    <xf numFmtId="0" fontId="17" fillId="13" borderId="1" xfId="0" applyFont="1" applyFill="1" applyBorder="1" applyAlignment="1">
      <alignment horizontal="left" vertical="center"/>
    </xf>
    <xf numFmtId="0" fontId="17" fillId="23" borderId="1" xfId="0" applyFont="1" applyFill="1" applyBorder="1" applyAlignment="1">
      <alignment horizontal="left" vertical="center"/>
    </xf>
    <xf numFmtId="0" fontId="5" fillId="25" borderId="1" xfId="0" applyFont="1" applyFill="1" applyBorder="1" applyAlignment="1">
      <alignment horizontal="center" vertical="center" wrapText="1"/>
    </xf>
    <xf numFmtId="0" fontId="16" fillId="26" borderId="1" xfId="0" applyFont="1" applyFill="1" applyBorder="1" applyAlignment="1">
      <alignment horizontal="center" vertical="center" wrapText="1"/>
    </xf>
    <xf numFmtId="0" fontId="17" fillId="26" borderId="1" xfId="0" applyFont="1" applyFill="1" applyBorder="1" applyAlignment="1">
      <alignment horizontal="center" vertical="center" wrapText="1"/>
    </xf>
    <xf numFmtId="0" fontId="17" fillId="26" borderId="1" xfId="0" applyFont="1" applyFill="1" applyBorder="1" applyAlignment="1">
      <alignment horizontal="left" vertical="center" wrapText="1"/>
    </xf>
    <xf numFmtId="0" fontId="26" fillId="26" borderId="1" xfId="0" applyFont="1" applyFill="1" applyBorder="1" applyAlignment="1">
      <alignment horizontal="center" vertical="center" wrapText="1"/>
    </xf>
    <xf numFmtId="0" fontId="16" fillId="27" borderId="1" xfId="0" applyFont="1" applyFill="1" applyBorder="1" applyAlignment="1">
      <alignment horizontal="center" vertical="center" wrapText="1"/>
    </xf>
    <xf numFmtId="0" fontId="17" fillId="27" borderId="1" xfId="0" applyFont="1" applyFill="1" applyBorder="1" applyAlignment="1">
      <alignment horizontal="center" vertical="center" wrapText="1"/>
    </xf>
    <xf numFmtId="0" fontId="17" fillId="27" borderId="1" xfId="0" applyFont="1" applyFill="1" applyBorder="1" applyAlignment="1">
      <alignment horizontal="left" vertical="center" wrapText="1"/>
    </xf>
    <xf numFmtId="0" fontId="26" fillId="27" borderId="1" xfId="0" applyFont="1" applyFill="1" applyBorder="1" applyAlignment="1">
      <alignment horizontal="center" vertical="center" wrapText="1"/>
    </xf>
    <xf numFmtId="0" fontId="16" fillId="28" borderId="1" xfId="0" applyFont="1" applyFill="1" applyBorder="1" applyAlignment="1">
      <alignment horizontal="center" vertical="center" wrapText="1"/>
    </xf>
    <xf numFmtId="0" fontId="17" fillId="28" borderId="1" xfId="0" applyFont="1" applyFill="1" applyBorder="1" applyAlignment="1">
      <alignment horizontal="center" vertical="center" wrapText="1"/>
    </xf>
    <xf numFmtId="0" fontId="17" fillId="28" borderId="1" xfId="0" applyFont="1" applyFill="1" applyBorder="1" applyAlignment="1">
      <alignment horizontal="left" vertical="center" wrapText="1"/>
    </xf>
    <xf numFmtId="0" fontId="26" fillId="28" borderId="1" xfId="0" applyFont="1" applyFill="1" applyBorder="1" applyAlignment="1">
      <alignment horizontal="center" vertical="center" wrapText="1"/>
    </xf>
    <xf numFmtId="0" fontId="16" fillId="29" borderId="1" xfId="0" applyFont="1" applyFill="1" applyBorder="1" applyAlignment="1">
      <alignment horizontal="center" vertical="center" wrapText="1"/>
    </xf>
    <xf numFmtId="0" fontId="17" fillId="29" borderId="1" xfId="0" applyFont="1" applyFill="1" applyBorder="1" applyAlignment="1">
      <alignment horizontal="center" vertical="center" wrapText="1"/>
    </xf>
    <xf numFmtId="0" fontId="17" fillId="29" borderId="1" xfId="0" applyFont="1" applyFill="1" applyBorder="1" applyAlignment="1">
      <alignment horizontal="left" vertical="center" wrapText="1"/>
    </xf>
    <xf numFmtId="0" fontId="26" fillId="29" borderId="1" xfId="0" applyFont="1" applyFill="1" applyBorder="1" applyAlignment="1">
      <alignment horizontal="center" vertical="center" wrapText="1"/>
    </xf>
    <xf numFmtId="0" fontId="16" fillId="30" borderId="1" xfId="0" applyFont="1" applyFill="1" applyBorder="1" applyAlignment="1">
      <alignment horizontal="center" vertical="center" wrapText="1"/>
    </xf>
    <xf numFmtId="0" fontId="17" fillId="30" borderId="1" xfId="0" applyFont="1" applyFill="1" applyBorder="1" applyAlignment="1">
      <alignment horizontal="center" vertical="center" wrapText="1"/>
    </xf>
    <xf numFmtId="0" fontId="17" fillId="30" borderId="1" xfId="0" applyFont="1" applyFill="1" applyBorder="1" applyAlignment="1">
      <alignment horizontal="left" vertical="center" wrapText="1"/>
    </xf>
    <xf numFmtId="0" fontId="26" fillId="30" borderId="1" xfId="0" applyFont="1" applyFill="1" applyBorder="1" applyAlignment="1">
      <alignment horizontal="center" vertical="center" wrapText="1"/>
    </xf>
    <xf numFmtId="0" fontId="16" fillId="31" borderId="1" xfId="0" applyFont="1" applyFill="1" applyBorder="1" applyAlignment="1">
      <alignment horizontal="center" vertical="center" wrapText="1"/>
    </xf>
    <xf numFmtId="0" fontId="17" fillId="31" borderId="1" xfId="0" applyFont="1" applyFill="1" applyBorder="1" applyAlignment="1">
      <alignment horizontal="center" vertical="center" wrapText="1"/>
    </xf>
    <xf numFmtId="0" fontId="17" fillId="31" borderId="1" xfId="0" applyFont="1" applyFill="1" applyBorder="1" applyAlignment="1">
      <alignment horizontal="left" vertical="center" wrapText="1"/>
    </xf>
    <xf numFmtId="0" fontId="26" fillId="31" borderId="1" xfId="0" applyFont="1" applyFill="1" applyBorder="1" applyAlignment="1">
      <alignment horizontal="center" vertical="center" wrapText="1"/>
    </xf>
    <xf numFmtId="0" fontId="16" fillId="32" borderId="1" xfId="0" applyFont="1" applyFill="1" applyBorder="1" applyAlignment="1">
      <alignment horizontal="center" vertical="center" wrapText="1"/>
    </xf>
    <xf numFmtId="0" fontId="17" fillId="32" borderId="1" xfId="0" applyFont="1" applyFill="1" applyBorder="1" applyAlignment="1">
      <alignment horizontal="center" vertical="center" wrapText="1"/>
    </xf>
    <xf numFmtId="0" fontId="17" fillId="32" borderId="1" xfId="0" applyFont="1" applyFill="1" applyBorder="1" applyAlignment="1">
      <alignment horizontal="left" vertical="center" wrapText="1"/>
    </xf>
    <xf numFmtId="0" fontId="16" fillId="33" borderId="1" xfId="0" applyFont="1" applyFill="1" applyBorder="1" applyAlignment="1">
      <alignment horizontal="center" vertical="center" wrapText="1"/>
    </xf>
    <xf numFmtId="0" fontId="17" fillId="33" borderId="1" xfId="0" applyFont="1" applyFill="1" applyBorder="1" applyAlignment="1">
      <alignment horizontal="center" vertical="center" wrapText="1"/>
    </xf>
    <xf numFmtId="0" fontId="17" fillId="33" borderId="1" xfId="0" applyFont="1" applyFill="1" applyBorder="1" applyAlignment="1">
      <alignment horizontal="left" vertical="center" wrapText="1"/>
    </xf>
    <xf numFmtId="0" fontId="26" fillId="32" borderId="1" xfId="0" applyFont="1" applyFill="1" applyBorder="1" applyAlignment="1">
      <alignment horizontal="center" vertical="center" wrapText="1"/>
    </xf>
    <xf numFmtId="0" fontId="26" fillId="33" borderId="1" xfId="0" applyFont="1" applyFill="1" applyBorder="1" applyAlignment="1">
      <alignment horizontal="center" vertical="center" wrapText="1"/>
    </xf>
    <xf numFmtId="0" fontId="16" fillId="34" borderId="1" xfId="0" applyFont="1" applyFill="1" applyBorder="1" applyAlignment="1">
      <alignment horizontal="center" vertical="center" wrapText="1"/>
    </xf>
    <xf numFmtId="0" fontId="17" fillId="34" borderId="1" xfId="0" applyFont="1" applyFill="1" applyBorder="1" applyAlignment="1">
      <alignment horizontal="center" vertical="center" wrapText="1"/>
    </xf>
    <xf numFmtId="0" fontId="17" fillId="34" borderId="1" xfId="0" applyFont="1" applyFill="1" applyBorder="1" applyAlignment="1">
      <alignment horizontal="left" vertical="center" wrapText="1"/>
    </xf>
    <xf numFmtId="0" fontId="26" fillId="34" borderId="1" xfId="0" applyFont="1" applyFill="1" applyBorder="1" applyAlignment="1">
      <alignment horizontal="center" vertical="center" wrapText="1"/>
    </xf>
    <xf numFmtId="0" fontId="16" fillId="35" borderId="1" xfId="0" applyFont="1" applyFill="1" applyBorder="1" applyAlignment="1">
      <alignment horizontal="center" vertical="center" wrapText="1"/>
    </xf>
    <xf numFmtId="0" fontId="17" fillId="35" borderId="1" xfId="0" applyFont="1" applyFill="1" applyBorder="1" applyAlignment="1">
      <alignment horizontal="center" vertical="center" wrapText="1"/>
    </xf>
    <xf numFmtId="0" fontId="17" fillId="35" borderId="1" xfId="0" applyFont="1" applyFill="1" applyBorder="1" applyAlignment="1">
      <alignment horizontal="left" vertical="center" wrapText="1"/>
    </xf>
    <xf numFmtId="0" fontId="26" fillId="35"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26" borderId="1" xfId="0" applyFont="1" applyFill="1" applyBorder="1" applyAlignment="1">
      <alignment horizontal="center" vertical="center" wrapText="1"/>
    </xf>
    <xf numFmtId="3" fontId="6" fillId="26" borderId="1" xfId="0" applyNumberFormat="1" applyFont="1" applyFill="1" applyBorder="1" applyAlignment="1">
      <alignment horizontal="center" vertical="center" wrapText="1"/>
    </xf>
    <xf numFmtId="0" fontId="6" fillId="26" borderId="1" xfId="0" applyFont="1" applyFill="1" applyBorder="1" applyAlignment="1">
      <alignment horizontal="left" vertical="center" wrapText="1"/>
    </xf>
    <xf numFmtId="0" fontId="6" fillId="28" borderId="1" xfId="0" applyFont="1" applyFill="1" applyBorder="1" applyAlignment="1">
      <alignment horizontal="center" vertical="center" wrapText="1"/>
    </xf>
    <xf numFmtId="3" fontId="6" fillId="28" borderId="1" xfId="0" applyNumberFormat="1" applyFont="1" applyFill="1" applyBorder="1" applyAlignment="1">
      <alignment horizontal="center" vertical="center" wrapText="1"/>
    </xf>
    <xf numFmtId="0" fontId="6" fillId="28" borderId="1" xfId="0" applyFont="1" applyFill="1" applyBorder="1" applyAlignment="1">
      <alignment horizontal="left" vertical="center" wrapText="1"/>
    </xf>
    <xf numFmtId="0" fontId="6" fillId="30" borderId="1" xfId="0" applyFont="1" applyFill="1" applyBorder="1" applyAlignment="1">
      <alignment horizontal="center" vertical="center" wrapText="1"/>
    </xf>
    <xf numFmtId="3" fontId="6" fillId="30" borderId="1" xfId="0" applyNumberFormat="1" applyFont="1" applyFill="1" applyBorder="1" applyAlignment="1">
      <alignment horizontal="center" vertical="center" wrapText="1"/>
    </xf>
    <xf numFmtId="0" fontId="6" fillId="30" borderId="1" xfId="0" applyFont="1" applyFill="1" applyBorder="1" applyAlignment="1">
      <alignment horizontal="left" vertical="center" wrapText="1"/>
    </xf>
    <xf numFmtId="0" fontId="6" fillId="33" borderId="1" xfId="0" applyFont="1" applyFill="1" applyBorder="1" applyAlignment="1">
      <alignment horizontal="center" vertical="center" wrapText="1"/>
    </xf>
    <xf numFmtId="3" fontId="6" fillId="33" borderId="1" xfId="0" applyNumberFormat="1" applyFont="1" applyFill="1" applyBorder="1" applyAlignment="1">
      <alignment horizontal="center" vertical="center" wrapText="1"/>
    </xf>
    <xf numFmtId="0" fontId="6" fillId="33" borderId="1" xfId="0" applyFont="1" applyFill="1" applyBorder="1" applyAlignment="1">
      <alignment horizontal="left" vertical="center" wrapText="1"/>
    </xf>
    <xf numFmtId="0" fontId="6" fillId="35" borderId="1" xfId="0" applyFont="1" applyFill="1" applyBorder="1" applyAlignment="1">
      <alignment horizontal="center" vertical="center" wrapText="1"/>
    </xf>
    <xf numFmtId="3" fontId="6" fillId="35" borderId="1" xfId="0" applyNumberFormat="1" applyFont="1" applyFill="1" applyBorder="1" applyAlignment="1">
      <alignment horizontal="center" vertical="center" wrapText="1"/>
    </xf>
    <xf numFmtId="0" fontId="6" fillId="35"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21" fillId="15" borderId="1" xfId="0" applyFont="1" applyFill="1" applyBorder="1" applyAlignment="1">
      <alignment horizontal="center" vertical="center"/>
    </xf>
    <xf numFmtId="0" fontId="5" fillId="24" borderId="1" xfId="0" applyFont="1" applyFill="1" applyBorder="1" applyAlignment="1">
      <alignment horizontal="left" vertical="center" indent="1"/>
    </xf>
    <xf numFmtId="0" fontId="17" fillId="13" borderId="1" xfId="0" applyFont="1" applyFill="1" applyBorder="1" applyAlignment="1">
      <alignment horizontal="left" vertical="center" wrapText="1" indent="1"/>
    </xf>
    <xf numFmtId="0" fontId="17" fillId="36" borderId="1" xfId="0" applyFont="1" applyFill="1" applyBorder="1" applyAlignment="1">
      <alignment horizontal="left" vertical="center" wrapText="1" indent="1"/>
    </xf>
    <xf numFmtId="0" fontId="5" fillId="17" borderId="1" xfId="0" applyFont="1" applyFill="1" applyBorder="1" applyAlignment="1">
      <alignment horizontal="left" vertical="center" indent="1"/>
    </xf>
    <xf numFmtId="0" fontId="17" fillId="28" borderId="1" xfId="0" applyFont="1" applyFill="1" applyBorder="1" applyAlignment="1">
      <alignment horizontal="left" vertical="center" wrapText="1" indent="1"/>
    </xf>
    <xf numFmtId="0" fontId="29" fillId="37" borderId="0" xfId="0" applyFont="1" applyFill="1" applyAlignment="1">
      <alignment horizontal="left" vertical="center"/>
    </xf>
    <xf numFmtId="0" fontId="10" fillId="2" borderId="0" xfId="0" applyFont="1" applyFill="1" applyAlignment="1">
      <alignment horizontal="center" vertical="center" wrapText="1"/>
    </xf>
    <xf numFmtId="0" fontId="10" fillId="3" borderId="0" xfId="0" applyFont="1" applyFill="1" applyAlignment="1">
      <alignment horizontal="center" vertical="center" wrapText="1"/>
    </xf>
    <xf numFmtId="0" fontId="0" fillId="14" borderId="0" xfId="0" applyFill="1" applyBorder="1"/>
    <xf numFmtId="0" fontId="18" fillId="11" borderId="0" xfId="0" applyFont="1" applyFill="1" applyBorder="1" applyAlignment="1">
      <alignment horizontal="center" vertical="center"/>
    </xf>
    <xf numFmtId="0" fontId="21" fillId="12" borderId="1" xfId="0" applyFont="1" applyFill="1" applyBorder="1" applyAlignment="1">
      <alignment horizontal="center" vertical="center"/>
    </xf>
    <xf numFmtId="0" fontId="12" fillId="12" borderId="0" xfId="0" applyFont="1" applyFill="1" applyBorder="1" applyAlignment="1">
      <alignment horizontal="center" vertical="center"/>
    </xf>
    <xf numFmtId="0" fontId="18" fillId="23" borderId="0" xfId="0" applyFont="1" applyFill="1" applyBorder="1" applyAlignment="1">
      <alignment horizontal="center" vertical="center"/>
    </xf>
    <xf numFmtId="0" fontId="24" fillId="9" borderId="0" xfId="0" applyFont="1" applyFill="1" applyBorder="1" applyAlignment="1">
      <alignment horizontal="center" vertical="center"/>
    </xf>
    <xf numFmtId="0" fontId="25" fillId="23" borderId="0" xfId="0" applyFont="1" applyFill="1" applyBorder="1" applyAlignment="1">
      <alignment horizontal="center" vertical="center"/>
    </xf>
    <xf numFmtId="0" fontId="5" fillId="24" borderId="0" xfId="0" applyFont="1" applyFill="1" applyBorder="1" applyAlignment="1">
      <alignment horizontal="left" vertical="center" indent="1"/>
    </xf>
    <xf numFmtId="0" fontId="4" fillId="17" borderId="1" xfId="0" applyFont="1" applyFill="1" applyBorder="1" applyAlignment="1">
      <alignment horizontal="center" vertical="center"/>
    </xf>
    <xf numFmtId="0" fontId="27" fillId="2" borderId="0" xfId="0" applyFont="1" applyFill="1" applyBorder="1" applyAlignment="1">
      <alignment horizontal="center" vertical="center"/>
    </xf>
    <xf numFmtId="0" fontId="28" fillId="3" borderId="0" xfId="0" applyFont="1" applyFill="1" applyBorder="1" applyAlignment="1">
      <alignment horizontal="center" vertical="center"/>
    </xf>
    <xf numFmtId="0" fontId="29" fillId="37" borderId="0" xfId="0" applyFont="1" applyFill="1" applyBorder="1" applyAlignment="1">
      <alignment horizontal="left" vertical="center"/>
    </xf>
    <xf numFmtId="0" fontId="6" fillId="0" borderId="0" xfId="0" applyFont="1" applyBorder="1" applyAlignment="1">
      <alignment horizontal="left" vertical="center" wrapText="1"/>
    </xf>
    <xf numFmtId="0" fontId="6" fillId="38" borderId="0" xfId="0" applyFont="1" applyFill="1" applyBorder="1" applyAlignment="1">
      <alignment horizontal="left" vertical="center" wrapText="1"/>
    </xf>
    <xf numFmtId="0" fontId="30" fillId="7" borderId="0" xfId="0" applyFont="1" applyFill="1" applyBorder="1" applyAlignment="1">
      <alignment horizontal="left" vertical="center" wrapText="1"/>
    </xf>
    <xf numFmtId="0" fontId="6" fillId="39" borderId="0" xfId="0" applyFont="1" applyFill="1" applyBorder="1" applyAlignment="1">
      <alignment horizontal="left" vertical="center" wrapText="1"/>
    </xf>
    <xf numFmtId="0" fontId="6" fillId="11" borderId="0"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FFF8E7"/>
      <rgbColor rgb="FF0000FF"/>
      <rgbColor rgb="FFFFF8E1"/>
      <rgbColor rgb="FFFF00FF"/>
      <rgbColor rgb="FFEBF5FB"/>
      <rgbColor rgb="FFC8102E"/>
      <rgbColor rgb="FF145A32"/>
      <rgbColor rgb="FF000080"/>
      <rgbColor rgb="FF784212"/>
      <rgbColor rgb="FF800080"/>
      <rgbColor rgb="FF008080"/>
      <rgbColor rgb="FFCCCCCC"/>
      <rgbColor rgb="FF444444"/>
      <rgbColor rgb="FFC8E6C9"/>
      <rgbColor rgb="FF7D3C98"/>
      <rgbColor rgb="FFFFF9C4"/>
      <rgbColor rgb="FFE3F2FD"/>
      <rgbColor rgb="FF4A235A"/>
      <rgbColor rgb="FFFDECEA"/>
      <rgbColor rgb="FF0070C0"/>
      <rgbColor rgb="FFBDD7EE"/>
      <rgbColor rgb="FF000080"/>
      <rgbColor rgb="FFFF00FF"/>
      <rgbColor rgb="FFFFF3E0"/>
      <rgbColor rgb="FFF2F3F4"/>
      <rgbColor rgb="FF800080"/>
      <rgbColor rgb="FF800000"/>
      <rgbColor rgb="FF008080"/>
      <rgbColor rgb="FF0000FF"/>
      <rgbColor rgb="FFFEF9ED"/>
      <rgbColor rgb="FFE8F4FD"/>
      <rgbColor rgb="FFE2EFDA"/>
      <rgbColor rgb="FFFFF2CC"/>
      <rgbColor rgb="FFBBDEFB"/>
      <rgbColor rgb="FFF3E5F5"/>
      <rgbColor rgb="FFE1BEE7"/>
      <rgbColor rgb="FFFFE0B2"/>
      <rgbColor rgb="FF2E75B6"/>
      <rgbColor rgb="FFEAF7EA"/>
      <rgbColor rgb="FFE8F5E9"/>
      <rgbColor rgb="FFFFE7E7"/>
      <rgbColor rgb="FFF5A623"/>
      <rgbColor rgb="FFC55A11"/>
      <rgbColor rgb="FF555555"/>
      <rgbColor rgb="FFE9F0F8"/>
      <rgbColor rgb="FF1B4F72"/>
      <rgbColor rgb="FFF2F2F2"/>
      <rgbColor rgb="FF1A1A2E"/>
      <rgbColor rgb="FF1B2631"/>
      <rgbColor rgb="FF7B241C"/>
      <rgbColor rgb="FFC0392B"/>
      <rgbColor rgb="FF1F4E7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8"/>
  <sheetViews>
    <sheetView showGridLines="0" topLeftCell="A41" zoomScaleNormal="100" workbookViewId="0"/>
  </sheetViews>
  <sheetFormatPr defaultColWidth="8.6640625" defaultRowHeight="14.4" x14ac:dyDescent="0.3"/>
  <cols>
    <col min="1" max="1" width="1.5546875" customWidth="1"/>
    <col min="2" max="3" width="16" customWidth="1"/>
    <col min="4" max="4" width="30" customWidth="1"/>
    <col min="5" max="5" width="36" customWidth="1"/>
    <col min="6" max="6" width="70" bestFit="1" customWidth="1"/>
    <col min="7" max="7" width="16" customWidth="1"/>
    <col min="8" max="8" width="14" customWidth="1"/>
    <col min="9" max="9" width="20.109375" bestFit="1" customWidth="1"/>
    <col min="10" max="10" width="42.6640625" bestFit="1" customWidth="1"/>
    <col min="11" max="11" width="42" customWidth="1"/>
    <col min="12" max="12" width="1.5546875" customWidth="1"/>
  </cols>
  <sheetData>
    <row r="2" spans="2:11" ht="42" customHeight="1" x14ac:dyDescent="0.3">
      <c r="B2" s="14" t="s">
        <v>0</v>
      </c>
      <c r="C2" s="14"/>
      <c r="D2" s="14"/>
      <c r="E2" s="14"/>
      <c r="F2" s="14"/>
      <c r="G2" s="14"/>
      <c r="H2" s="14"/>
      <c r="I2" s="14"/>
      <c r="J2" s="14"/>
      <c r="K2" s="14"/>
    </row>
    <row r="3" spans="2:11" ht="18" customHeight="1" x14ac:dyDescent="0.3">
      <c r="B3" s="13" t="s">
        <v>1</v>
      </c>
      <c r="C3" s="13"/>
      <c r="D3" s="13"/>
      <c r="E3" s="13"/>
      <c r="F3" s="13"/>
      <c r="G3" s="13"/>
      <c r="H3" s="13"/>
      <c r="I3" s="13"/>
      <c r="J3" s="13"/>
      <c r="K3" s="13"/>
    </row>
    <row r="4" spans="2:11" ht="15.75" customHeight="1" x14ac:dyDescent="0.3">
      <c r="B4" s="12" t="s">
        <v>2</v>
      </c>
      <c r="C4" s="12"/>
      <c r="D4" s="12"/>
      <c r="E4" s="12"/>
      <c r="F4" s="12"/>
      <c r="G4" s="12"/>
      <c r="H4" s="12"/>
      <c r="I4" s="12"/>
      <c r="J4" s="12"/>
      <c r="K4" s="12"/>
    </row>
    <row r="6" spans="2:11" ht="21.75" customHeight="1" x14ac:dyDescent="0.3">
      <c r="B6" s="11" t="s">
        <v>3</v>
      </c>
      <c r="C6" s="11"/>
      <c r="D6" s="11"/>
      <c r="E6" s="11"/>
      <c r="F6" s="11"/>
      <c r="G6" s="11"/>
      <c r="H6" s="11"/>
      <c r="I6" s="11"/>
      <c r="J6" s="11"/>
      <c r="K6" s="11"/>
    </row>
    <row r="7" spans="2:11" ht="19.5" customHeight="1" x14ac:dyDescent="0.3">
      <c r="B7" s="15" t="s">
        <v>4</v>
      </c>
      <c r="C7" s="15" t="s">
        <v>5</v>
      </c>
      <c r="D7" s="15" t="s">
        <v>6</v>
      </c>
      <c r="E7" s="15" t="s">
        <v>7</v>
      </c>
      <c r="F7" s="15" t="s">
        <v>8</v>
      </c>
      <c r="G7" s="15" t="s">
        <v>9</v>
      </c>
    </row>
    <row r="8" spans="2:11" ht="18" customHeight="1" x14ac:dyDescent="0.3">
      <c r="B8" s="16" t="s">
        <v>10</v>
      </c>
      <c r="C8" s="16" t="s">
        <v>11</v>
      </c>
      <c r="D8" s="16" t="s">
        <v>12</v>
      </c>
      <c r="E8" s="16" t="s">
        <v>13</v>
      </c>
      <c r="F8" s="16" t="s">
        <v>14</v>
      </c>
      <c r="G8" s="16" t="s">
        <v>15</v>
      </c>
    </row>
    <row r="9" spans="2:11" ht="18" customHeight="1" x14ac:dyDescent="0.3">
      <c r="B9" s="17" t="s">
        <v>16</v>
      </c>
      <c r="C9" s="17" t="s">
        <v>17</v>
      </c>
      <c r="D9" s="17" t="s">
        <v>18</v>
      </c>
      <c r="E9" s="17" t="s">
        <v>19</v>
      </c>
      <c r="F9" s="17" t="s">
        <v>20</v>
      </c>
      <c r="G9" s="17" t="s">
        <v>21</v>
      </c>
    </row>
    <row r="10" spans="2:11" ht="18" customHeight="1" x14ac:dyDescent="0.3">
      <c r="B10" s="18" t="s">
        <v>22</v>
      </c>
      <c r="C10" s="18" t="s">
        <v>23</v>
      </c>
      <c r="D10" s="18" t="s">
        <v>24</v>
      </c>
      <c r="E10" s="18" t="s">
        <v>25</v>
      </c>
      <c r="F10" s="18" t="s">
        <v>26</v>
      </c>
      <c r="G10" s="18" t="s">
        <v>27</v>
      </c>
    </row>
    <row r="12" spans="2:11" ht="21.75" customHeight="1" x14ac:dyDescent="0.3">
      <c r="B12" s="11" t="s">
        <v>28</v>
      </c>
      <c r="C12" s="11"/>
      <c r="D12" s="11"/>
      <c r="E12" s="11"/>
      <c r="F12" s="11"/>
      <c r="G12" s="11"/>
      <c r="H12" s="11"/>
      <c r="I12" s="11"/>
      <c r="J12" s="11"/>
      <c r="K12" s="11"/>
    </row>
    <row r="13" spans="2:11" ht="19.5" customHeight="1" x14ac:dyDescent="0.3">
      <c r="B13" s="10" t="s">
        <v>29</v>
      </c>
      <c r="C13" s="10"/>
      <c r="D13" s="10" t="s">
        <v>30</v>
      </c>
      <c r="E13" s="10"/>
      <c r="F13" s="9" t="s">
        <v>31</v>
      </c>
      <c r="G13" s="9"/>
      <c r="H13" s="9" t="s">
        <v>32</v>
      </c>
      <c r="I13" s="9"/>
      <c r="J13" s="8" t="s">
        <v>33</v>
      </c>
      <c r="K13" s="8"/>
    </row>
    <row r="14" spans="2:11" ht="27.75" customHeight="1" x14ac:dyDescent="0.3">
      <c r="B14" s="7" t="s">
        <v>34</v>
      </c>
      <c r="C14" s="7"/>
      <c r="D14" s="7" t="s">
        <v>26</v>
      </c>
      <c r="E14" s="7"/>
      <c r="F14" s="6" t="s">
        <v>27</v>
      </c>
      <c r="G14" s="6"/>
      <c r="H14" s="6" t="s">
        <v>35</v>
      </c>
      <c r="I14" s="6"/>
      <c r="J14" s="5" t="s">
        <v>36</v>
      </c>
      <c r="K14" s="5"/>
    </row>
    <row r="16" spans="2:11" ht="21.75" customHeight="1" x14ac:dyDescent="0.3">
      <c r="B16" s="11" t="s">
        <v>37</v>
      </c>
      <c r="C16" s="11"/>
      <c r="D16" s="11"/>
      <c r="E16" s="11"/>
      <c r="F16" s="11"/>
      <c r="G16" s="11"/>
      <c r="H16" s="11"/>
      <c r="I16" s="11"/>
      <c r="J16" s="11"/>
      <c r="K16" s="11"/>
    </row>
    <row r="17" spans="2:11" ht="21.75" customHeight="1" x14ac:dyDescent="0.3">
      <c r="B17" s="19" t="s">
        <v>38</v>
      </c>
      <c r="C17" s="19" t="s">
        <v>39</v>
      </c>
      <c r="D17" s="19" t="s">
        <v>40</v>
      </c>
      <c r="E17" s="19" t="s">
        <v>41</v>
      </c>
      <c r="F17" s="19" t="s">
        <v>42</v>
      </c>
    </row>
    <row r="18" spans="2:11" ht="21.75" customHeight="1" x14ac:dyDescent="0.3">
      <c r="B18" s="16" t="s">
        <v>43</v>
      </c>
      <c r="C18" s="16" t="s">
        <v>44</v>
      </c>
      <c r="D18" s="16" t="s">
        <v>45</v>
      </c>
      <c r="E18" s="16" t="s">
        <v>46</v>
      </c>
      <c r="F18" s="20" t="s">
        <v>47</v>
      </c>
    </row>
    <row r="19" spans="2:11" ht="21.75" customHeight="1" x14ac:dyDescent="0.3">
      <c r="B19" s="17" t="s">
        <v>48</v>
      </c>
      <c r="C19" s="17" t="s">
        <v>49</v>
      </c>
      <c r="D19" s="17" t="s">
        <v>50</v>
      </c>
      <c r="E19" s="17" t="s">
        <v>51</v>
      </c>
      <c r="F19" s="21" t="s">
        <v>52</v>
      </c>
    </row>
    <row r="20" spans="2:11" ht="21.75" customHeight="1" x14ac:dyDescent="0.3">
      <c r="B20" s="16" t="s">
        <v>53</v>
      </c>
      <c r="C20" s="16" t="s">
        <v>54</v>
      </c>
      <c r="D20" s="16" t="s">
        <v>55</v>
      </c>
      <c r="E20" s="16" t="s">
        <v>56</v>
      </c>
      <c r="F20" s="20" t="s">
        <v>57</v>
      </c>
    </row>
    <row r="21" spans="2:11" ht="21.75" customHeight="1" x14ac:dyDescent="0.3">
      <c r="B21" s="17" t="s">
        <v>58</v>
      </c>
      <c r="C21" s="17" t="s">
        <v>59</v>
      </c>
      <c r="D21" s="17" t="s">
        <v>60</v>
      </c>
      <c r="E21" s="17" t="s">
        <v>61</v>
      </c>
      <c r="F21" s="22" t="s">
        <v>62</v>
      </c>
    </row>
    <row r="23" spans="2:11" ht="21.75" customHeight="1" x14ac:dyDescent="0.3">
      <c r="B23" s="11" t="s">
        <v>63</v>
      </c>
      <c r="C23" s="11"/>
      <c r="D23" s="11"/>
      <c r="E23" s="11"/>
      <c r="F23" s="11"/>
      <c r="G23" s="11"/>
      <c r="H23" s="11"/>
      <c r="I23" s="11"/>
      <c r="J23" s="11"/>
      <c r="K23" s="11"/>
    </row>
    <row r="24" spans="2:11" ht="24" customHeight="1" x14ac:dyDescent="0.3">
      <c r="B24" s="23" t="s">
        <v>64</v>
      </c>
      <c r="C24" s="23" t="s">
        <v>5</v>
      </c>
      <c r="D24" s="23" t="s">
        <v>65</v>
      </c>
      <c r="E24" s="23" t="s">
        <v>66</v>
      </c>
      <c r="F24" s="23" t="s">
        <v>67</v>
      </c>
      <c r="G24" s="23" t="s">
        <v>68</v>
      </c>
      <c r="H24" s="23" t="s">
        <v>69</v>
      </c>
      <c r="I24" s="23" t="s">
        <v>70</v>
      </c>
      <c r="J24" s="23" t="s">
        <v>71</v>
      </c>
    </row>
    <row r="25" spans="2:11" ht="24" customHeight="1" x14ac:dyDescent="0.3">
      <c r="B25" s="24" t="s">
        <v>72</v>
      </c>
      <c r="C25" s="24" t="s">
        <v>73</v>
      </c>
      <c r="D25" s="24" t="s">
        <v>74</v>
      </c>
      <c r="E25" s="24" t="s">
        <v>75</v>
      </c>
      <c r="F25" s="24" t="s">
        <v>76</v>
      </c>
      <c r="G25" s="24" t="s">
        <v>77</v>
      </c>
      <c r="H25" s="24" t="s">
        <v>78</v>
      </c>
      <c r="I25" s="24" t="s">
        <v>79</v>
      </c>
      <c r="J25" s="25" t="s">
        <v>80</v>
      </c>
    </row>
    <row r="26" spans="2:11" ht="24" customHeight="1" x14ac:dyDescent="0.3">
      <c r="B26" s="26" t="s">
        <v>81</v>
      </c>
      <c r="C26" s="26" t="s">
        <v>82</v>
      </c>
      <c r="D26" s="26" t="s">
        <v>83</v>
      </c>
      <c r="E26" s="26" t="s">
        <v>84</v>
      </c>
      <c r="F26" s="26" t="s">
        <v>85</v>
      </c>
      <c r="G26" s="26" t="s">
        <v>86</v>
      </c>
      <c r="H26" s="26" t="s">
        <v>87</v>
      </c>
      <c r="I26" s="26" t="s">
        <v>88</v>
      </c>
      <c r="J26" s="27" t="s">
        <v>89</v>
      </c>
    </row>
    <row r="27" spans="2:11" ht="24" customHeight="1" x14ac:dyDescent="0.3">
      <c r="B27" s="24" t="s">
        <v>90</v>
      </c>
      <c r="C27" s="24" t="s">
        <v>91</v>
      </c>
      <c r="D27" s="24" t="s">
        <v>83</v>
      </c>
      <c r="E27" s="24" t="s">
        <v>92</v>
      </c>
      <c r="F27" s="24" t="s">
        <v>93</v>
      </c>
      <c r="G27" s="24" t="s">
        <v>94</v>
      </c>
      <c r="H27" s="24" t="s">
        <v>95</v>
      </c>
      <c r="I27" s="24" t="s">
        <v>96</v>
      </c>
      <c r="J27" s="25" t="s">
        <v>97</v>
      </c>
    </row>
    <row r="28" spans="2:11" ht="24" customHeight="1" x14ac:dyDescent="0.3">
      <c r="B28" s="26" t="s">
        <v>98</v>
      </c>
      <c r="C28" s="26" t="s">
        <v>99</v>
      </c>
      <c r="D28" s="26" t="s">
        <v>100</v>
      </c>
      <c r="E28" s="26" t="s">
        <v>101</v>
      </c>
      <c r="F28" s="26" t="s">
        <v>102</v>
      </c>
      <c r="G28" s="26" t="s">
        <v>103</v>
      </c>
      <c r="H28" s="26" t="s">
        <v>104</v>
      </c>
      <c r="I28" s="26" t="s">
        <v>79</v>
      </c>
      <c r="J28" s="27" t="s">
        <v>105</v>
      </c>
    </row>
    <row r="29" spans="2:11" ht="24" customHeight="1" x14ac:dyDescent="0.3">
      <c r="B29" s="24" t="s">
        <v>106</v>
      </c>
      <c r="C29" s="24" t="s">
        <v>107</v>
      </c>
      <c r="D29" s="24" t="s">
        <v>108</v>
      </c>
      <c r="E29" s="24" t="s">
        <v>109</v>
      </c>
      <c r="F29" s="24" t="s">
        <v>110</v>
      </c>
      <c r="G29" s="24" t="s">
        <v>111</v>
      </c>
      <c r="H29" s="24" t="s">
        <v>93</v>
      </c>
      <c r="I29" s="24" t="s">
        <v>112</v>
      </c>
      <c r="J29" s="25" t="s">
        <v>113</v>
      </c>
    </row>
    <row r="30" spans="2:11" ht="18" customHeight="1" x14ac:dyDescent="0.3">
      <c r="B30" s="28" t="s">
        <v>22</v>
      </c>
      <c r="C30" s="28" t="s">
        <v>114</v>
      </c>
      <c r="D30" s="28" t="s">
        <v>115</v>
      </c>
      <c r="E30" s="28" t="s">
        <v>116</v>
      </c>
      <c r="F30" s="28" t="s">
        <v>117</v>
      </c>
      <c r="G30" s="28" t="s">
        <v>118</v>
      </c>
      <c r="H30" s="28" t="s">
        <v>119</v>
      </c>
      <c r="I30" s="28" t="s">
        <v>120</v>
      </c>
      <c r="J30" s="29" t="s">
        <v>121</v>
      </c>
    </row>
    <row r="32" spans="2:11" ht="21.75" customHeight="1" x14ac:dyDescent="0.3">
      <c r="B32" s="11" t="s">
        <v>122</v>
      </c>
      <c r="C32" s="11"/>
      <c r="D32" s="11"/>
      <c r="E32" s="11"/>
      <c r="F32" s="11"/>
      <c r="G32" s="11"/>
      <c r="H32" s="11"/>
      <c r="I32" s="11"/>
      <c r="J32" s="11"/>
      <c r="K32" s="11"/>
    </row>
    <row r="33" spans="2:11" ht="21.75" customHeight="1" x14ac:dyDescent="0.3">
      <c r="B33" s="19" t="s">
        <v>123</v>
      </c>
      <c r="C33" s="19" t="s">
        <v>124</v>
      </c>
      <c r="D33" s="19" t="s">
        <v>7</v>
      </c>
      <c r="E33" s="19" t="s">
        <v>65</v>
      </c>
      <c r="F33" s="19" t="s">
        <v>125</v>
      </c>
      <c r="G33" s="19" t="s">
        <v>126</v>
      </c>
      <c r="H33" s="19" t="s">
        <v>127</v>
      </c>
      <c r="I33" s="19" t="s">
        <v>128</v>
      </c>
    </row>
    <row r="34" spans="2:11" ht="18" customHeight="1" x14ac:dyDescent="0.3">
      <c r="B34" s="16" t="s">
        <v>129</v>
      </c>
      <c r="C34" s="16" t="s">
        <v>130</v>
      </c>
      <c r="D34" s="16" t="s">
        <v>79</v>
      </c>
      <c r="E34" s="16" t="s">
        <v>79</v>
      </c>
      <c r="F34" s="16" t="s">
        <v>131</v>
      </c>
      <c r="G34" s="16" t="s">
        <v>132</v>
      </c>
      <c r="H34" s="30" t="s">
        <v>133</v>
      </c>
      <c r="I34" s="16" t="s">
        <v>134</v>
      </c>
    </row>
    <row r="35" spans="2:11" ht="18" customHeight="1" x14ac:dyDescent="0.3">
      <c r="B35" s="17" t="s">
        <v>135</v>
      </c>
      <c r="C35" s="17" t="s">
        <v>130</v>
      </c>
      <c r="D35" s="17" t="s">
        <v>79</v>
      </c>
      <c r="E35" s="17" t="s">
        <v>79</v>
      </c>
      <c r="F35" s="17" t="s">
        <v>136</v>
      </c>
      <c r="G35" s="17" t="s">
        <v>137</v>
      </c>
      <c r="H35" s="31" t="s">
        <v>138</v>
      </c>
      <c r="I35" s="17" t="s">
        <v>139</v>
      </c>
    </row>
    <row r="36" spans="2:11" ht="18" customHeight="1" x14ac:dyDescent="0.3">
      <c r="B36" s="16" t="s">
        <v>140</v>
      </c>
      <c r="C36" s="16" t="s">
        <v>141</v>
      </c>
      <c r="D36" s="16" t="s">
        <v>142</v>
      </c>
      <c r="E36" s="16" t="s">
        <v>142</v>
      </c>
      <c r="F36" s="16" t="s">
        <v>143</v>
      </c>
      <c r="G36" s="16" t="s">
        <v>144</v>
      </c>
      <c r="H36" s="32" t="s">
        <v>145</v>
      </c>
      <c r="I36" s="16" t="s">
        <v>146</v>
      </c>
    </row>
    <row r="37" spans="2:11" ht="18" customHeight="1" x14ac:dyDescent="0.3">
      <c r="B37" s="17" t="s">
        <v>147</v>
      </c>
      <c r="C37" s="17" t="s">
        <v>141</v>
      </c>
      <c r="D37" s="17" t="s">
        <v>148</v>
      </c>
      <c r="E37" s="17" t="s">
        <v>148</v>
      </c>
      <c r="F37" s="17" t="s">
        <v>149</v>
      </c>
      <c r="G37" s="17" t="s">
        <v>150</v>
      </c>
      <c r="H37" s="32" t="s">
        <v>151</v>
      </c>
      <c r="I37" s="17" t="s">
        <v>152</v>
      </c>
    </row>
    <row r="38" spans="2:11" ht="18" customHeight="1" x14ac:dyDescent="0.3">
      <c r="B38" s="16" t="s">
        <v>153</v>
      </c>
      <c r="C38" s="16" t="s">
        <v>130</v>
      </c>
      <c r="D38" s="16" t="s">
        <v>74</v>
      </c>
      <c r="E38" s="16" t="s">
        <v>74</v>
      </c>
      <c r="F38" s="16" t="s">
        <v>154</v>
      </c>
      <c r="G38" s="16" t="s">
        <v>155</v>
      </c>
      <c r="H38" s="30" t="s">
        <v>156</v>
      </c>
      <c r="I38" s="16" t="s">
        <v>157</v>
      </c>
    </row>
    <row r="39" spans="2:11" ht="18" customHeight="1" x14ac:dyDescent="0.3">
      <c r="B39" s="18" t="s">
        <v>22</v>
      </c>
      <c r="C39" s="18" t="s">
        <v>158</v>
      </c>
      <c r="D39" s="18" t="s">
        <v>19</v>
      </c>
      <c r="E39" s="18" t="s">
        <v>20</v>
      </c>
      <c r="F39" s="18" t="s">
        <v>159</v>
      </c>
      <c r="G39" s="18" t="s">
        <v>160</v>
      </c>
      <c r="H39" s="18" t="s">
        <v>161</v>
      </c>
      <c r="I39" s="18" t="s">
        <v>162</v>
      </c>
    </row>
    <row r="41" spans="2:11" ht="21.75" customHeight="1" x14ac:dyDescent="0.3">
      <c r="B41" s="11" t="s">
        <v>163</v>
      </c>
      <c r="C41" s="11"/>
      <c r="D41" s="11"/>
      <c r="E41" s="11"/>
      <c r="F41" s="11"/>
      <c r="G41" s="11"/>
      <c r="H41" s="11"/>
      <c r="I41" s="11"/>
      <c r="J41" s="11"/>
      <c r="K41" s="11"/>
    </row>
    <row r="42" spans="2:11" ht="18" customHeight="1" x14ac:dyDescent="0.3">
      <c r="B42" s="15" t="s">
        <v>164</v>
      </c>
      <c r="C42" s="15" t="s">
        <v>165</v>
      </c>
      <c r="D42" s="15" t="s">
        <v>166</v>
      </c>
      <c r="E42" s="15" t="s">
        <v>167</v>
      </c>
    </row>
    <row r="43" spans="2:11" ht="30" customHeight="1" x14ac:dyDescent="0.3">
      <c r="B43" s="33" t="s">
        <v>168</v>
      </c>
      <c r="C43" s="34" t="s">
        <v>169</v>
      </c>
      <c r="D43" s="34" t="s">
        <v>170</v>
      </c>
      <c r="E43" s="34" t="s">
        <v>171</v>
      </c>
    </row>
    <row r="44" spans="2:11" ht="30" customHeight="1" x14ac:dyDescent="0.3">
      <c r="B44" s="33" t="s">
        <v>168</v>
      </c>
      <c r="C44" s="34" t="s">
        <v>172</v>
      </c>
      <c r="D44" s="34" t="s">
        <v>173</v>
      </c>
      <c r="E44" s="34" t="s">
        <v>174</v>
      </c>
    </row>
    <row r="45" spans="2:11" ht="30" customHeight="1" x14ac:dyDescent="0.3">
      <c r="B45" s="35" t="s">
        <v>175</v>
      </c>
      <c r="C45" s="36" t="s">
        <v>176</v>
      </c>
      <c r="D45" s="36" t="s">
        <v>177</v>
      </c>
      <c r="E45" s="36" t="s">
        <v>178</v>
      </c>
    </row>
    <row r="46" spans="2:11" ht="30" customHeight="1" x14ac:dyDescent="0.3">
      <c r="B46" s="35" t="s">
        <v>175</v>
      </c>
      <c r="C46" s="36" t="s">
        <v>179</v>
      </c>
      <c r="D46" s="36" t="s">
        <v>180</v>
      </c>
      <c r="E46" s="36" t="s">
        <v>181</v>
      </c>
    </row>
    <row r="47" spans="2:11" ht="30" customHeight="1" x14ac:dyDescent="0.3">
      <c r="B47" s="37" t="s">
        <v>182</v>
      </c>
      <c r="C47" s="38" t="s">
        <v>183</v>
      </c>
      <c r="D47" s="38" t="s">
        <v>184</v>
      </c>
      <c r="E47" s="38" t="s">
        <v>185</v>
      </c>
    </row>
    <row r="48" spans="2:11" ht="30" customHeight="1" x14ac:dyDescent="0.3">
      <c r="B48" s="37" t="s">
        <v>182</v>
      </c>
      <c r="C48" s="38" t="s">
        <v>186</v>
      </c>
      <c r="D48" s="38" t="s">
        <v>187</v>
      </c>
      <c r="E48" s="38" t="s">
        <v>188</v>
      </c>
    </row>
  </sheetData>
  <mergeCells count="19">
    <mergeCell ref="B16:K16"/>
    <mergeCell ref="B23:K23"/>
    <mergeCell ref="B32:K32"/>
    <mergeCell ref="B41:K41"/>
    <mergeCell ref="B14:C14"/>
    <mergeCell ref="D14:E14"/>
    <mergeCell ref="F14:G14"/>
    <mergeCell ref="H14:I14"/>
    <mergeCell ref="J14:K14"/>
    <mergeCell ref="B13:C13"/>
    <mergeCell ref="D13:E13"/>
    <mergeCell ref="F13:G13"/>
    <mergeCell ref="H13:I13"/>
    <mergeCell ref="J13:K13"/>
    <mergeCell ref="B2:K2"/>
    <mergeCell ref="B3:K3"/>
    <mergeCell ref="B4:K4"/>
    <mergeCell ref="B6:K6"/>
    <mergeCell ref="B12:K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D3C98"/>
  </sheetPr>
  <dimension ref="A1:B36"/>
  <sheetViews>
    <sheetView showGridLines="0" zoomScaleNormal="100" workbookViewId="0">
      <selection sqref="A1:B1"/>
    </sheetView>
  </sheetViews>
  <sheetFormatPr defaultColWidth="8.6640625" defaultRowHeight="14.4" x14ac:dyDescent="0.3"/>
  <cols>
    <col min="1" max="1" width="5" customWidth="1"/>
    <col min="2" max="2" width="75" customWidth="1"/>
  </cols>
  <sheetData>
    <row r="1" spans="1:2" ht="31.5" customHeight="1" x14ac:dyDescent="0.3">
      <c r="A1" s="4" t="s">
        <v>189</v>
      </c>
      <c r="B1" s="4"/>
    </row>
    <row r="2" spans="1:2" ht="21.75" customHeight="1" x14ac:dyDescent="0.3">
      <c r="A2" s="39"/>
      <c r="B2" s="40"/>
    </row>
    <row r="3" spans="1:2" ht="25.5" customHeight="1" x14ac:dyDescent="0.3">
      <c r="A3" s="3" t="s">
        <v>190</v>
      </c>
      <c r="B3" s="3"/>
    </row>
    <row r="4" spans="1:2" ht="21.75" customHeight="1" x14ac:dyDescent="0.3">
      <c r="A4" s="39"/>
      <c r="B4" s="40" t="s">
        <v>191</v>
      </c>
    </row>
    <row r="5" spans="1:2" ht="21.75" customHeight="1" x14ac:dyDescent="0.3">
      <c r="A5" s="39"/>
      <c r="B5" s="41" t="s">
        <v>192</v>
      </c>
    </row>
    <row r="6" spans="1:2" ht="21.75" customHeight="1" x14ac:dyDescent="0.3">
      <c r="A6" s="39"/>
      <c r="B6" s="40" t="s">
        <v>193</v>
      </c>
    </row>
    <row r="7" spans="1:2" ht="21.75" customHeight="1" x14ac:dyDescent="0.3">
      <c r="A7" s="39"/>
      <c r="B7" s="41" t="s">
        <v>194</v>
      </c>
    </row>
    <row r="8" spans="1:2" ht="21.75" customHeight="1" x14ac:dyDescent="0.3">
      <c r="A8" s="39"/>
      <c r="B8" s="40" t="s">
        <v>195</v>
      </c>
    </row>
    <row r="9" spans="1:2" ht="21.75" customHeight="1" x14ac:dyDescent="0.3">
      <c r="A9" s="39"/>
      <c r="B9" s="41"/>
    </row>
    <row r="10" spans="1:2" ht="25.5" customHeight="1" x14ac:dyDescent="0.3">
      <c r="A10" s="3" t="s">
        <v>196</v>
      </c>
      <c r="B10" s="3"/>
    </row>
    <row r="11" spans="1:2" ht="21.75" customHeight="1" x14ac:dyDescent="0.3">
      <c r="A11" s="39"/>
      <c r="B11" s="41" t="s">
        <v>197</v>
      </c>
    </row>
    <row r="12" spans="1:2" ht="21.75" customHeight="1" x14ac:dyDescent="0.3">
      <c r="A12" s="39"/>
      <c r="B12" s="40" t="s">
        <v>198</v>
      </c>
    </row>
    <row r="13" spans="1:2" ht="21.75" customHeight="1" x14ac:dyDescent="0.3">
      <c r="A13" s="39"/>
      <c r="B13" s="41" t="s">
        <v>199</v>
      </c>
    </row>
    <row r="14" spans="1:2" ht="21.75" customHeight="1" x14ac:dyDescent="0.3">
      <c r="A14" s="39"/>
      <c r="B14" s="40"/>
    </row>
    <row r="15" spans="1:2" ht="25.5" customHeight="1" x14ac:dyDescent="0.3">
      <c r="A15" s="3" t="s">
        <v>200</v>
      </c>
      <c r="B15" s="3"/>
    </row>
    <row r="16" spans="1:2" ht="21.75" customHeight="1" x14ac:dyDescent="0.3">
      <c r="A16" s="39"/>
      <c r="B16" s="40" t="s">
        <v>201</v>
      </c>
    </row>
    <row r="17" spans="1:2" ht="21.75" customHeight="1" x14ac:dyDescent="0.3">
      <c r="A17" s="39"/>
      <c r="B17" s="41" t="s">
        <v>202</v>
      </c>
    </row>
    <row r="18" spans="1:2" ht="21.75" customHeight="1" x14ac:dyDescent="0.3">
      <c r="A18" s="39"/>
      <c r="B18" s="40" t="s">
        <v>203</v>
      </c>
    </row>
    <row r="19" spans="1:2" ht="21.75" customHeight="1" x14ac:dyDescent="0.3">
      <c r="A19" s="39"/>
      <c r="B19" s="41"/>
    </row>
    <row r="20" spans="1:2" ht="25.5" customHeight="1" x14ac:dyDescent="0.3">
      <c r="A20" s="3" t="s">
        <v>204</v>
      </c>
      <c r="B20" s="3"/>
    </row>
    <row r="21" spans="1:2" ht="21.75" customHeight="1" x14ac:dyDescent="0.3">
      <c r="A21" s="39"/>
      <c r="B21" s="41" t="s">
        <v>205</v>
      </c>
    </row>
    <row r="22" spans="1:2" ht="21.75" customHeight="1" x14ac:dyDescent="0.3">
      <c r="A22" s="39"/>
      <c r="B22" s="40" t="s">
        <v>206</v>
      </c>
    </row>
    <row r="23" spans="1:2" ht="21.75" customHeight="1" x14ac:dyDescent="0.3">
      <c r="A23" s="39"/>
      <c r="B23" s="41" t="s">
        <v>207</v>
      </c>
    </row>
    <row r="24" spans="1:2" ht="21.75" customHeight="1" x14ac:dyDescent="0.3">
      <c r="A24" s="39"/>
      <c r="B24" s="40"/>
    </row>
    <row r="25" spans="1:2" ht="25.5" customHeight="1" x14ac:dyDescent="0.3">
      <c r="A25" s="3" t="s">
        <v>208</v>
      </c>
      <c r="B25" s="3"/>
    </row>
    <row r="26" spans="1:2" ht="21.75" customHeight="1" x14ac:dyDescent="0.3">
      <c r="A26" s="39"/>
      <c r="B26" s="40" t="s">
        <v>209</v>
      </c>
    </row>
    <row r="27" spans="1:2" ht="21.75" customHeight="1" x14ac:dyDescent="0.3">
      <c r="A27" s="39"/>
      <c r="B27" s="41" t="s">
        <v>210</v>
      </c>
    </row>
    <row r="28" spans="1:2" ht="21.75" customHeight="1" x14ac:dyDescent="0.3">
      <c r="A28" s="39"/>
      <c r="B28" s="40" t="s">
        <v>211</v>
      </c>
    </row>
    <row r="29" spans="1:2" ht="21.75" customHeight="1" x14ac:dyDescent="0.3">
      <c r="A29" s="39"/>
      <c r="B29" s="41" t="s">
        <v>212</v>
      </c>
    </row>
    <row r="30" spans="1:2" ht="21.75" customHeight="1" x14ac:dyDescent="0.3">
      <c r="A30" s="39"/>
      <c r="B30" s="40" t="s">
        <v>213</v>
      </c>
    </row>
    <row r="31" spans="1:2" ht="21.75" customHeight="1" x14ac:dyDescent="0.3">
      <c r="A31" s="39"/>
      <c r="B31" s="41"/>
    </row>
    <row r="32" spans="1:2" ht="25.5" customHeight="1" x14ac:dyDescent="0.3">
      <c r="A32" s="3" t="s">
        <v>214</v>
      </c>
      <c r="B32" s="3"/>
    </row>
    <row r="33" spans="1:2" ht="21.75" customHeight="1" x14ac:dyDescent="0.3">
      <c r="A33" s="39"/>
      <c r="B33" s="41" t="s">
        <v>215</v>
      </c>
    </row>
    <row r="34" spans="1:2" ht="21.75" customHeight="1" x14ac:dyDescent="0.3">
      <c r="A34" s="39"/>
      <c r="B34" s="40" t="s">
        <v>216</v>
      </c>
    </row>
    <row r="35" spans="1:2" ht="21.75" customHeight="1" x14ac:dyDescent="0.3">
      <c r="A35" s="39"/>
      <c r="B35" s="41" t="s">
        <v>217</v>
      </c>
    </row>
    <row r="36" spans="1:2" ht="21.75" customHeight="1" x14ac:dyDescent="0.3">
      <c r="A36" s="39"/>
      <c r="B36" s="40" t="s">
        <v>218</v>
      </c>
    </row>
  </sheetData>
  <mergeCells count="7">
    <mergeCell ref="A25:B25"/>
    <mergeCell ref="A32:B32"/>
    <mergeCell ref="A1:B1"/>
    <mergeCell ref="A3:B3"/>
    <mergeCell ref="A10:B10"/>
    <mergeCell ref="A15:B15"/>
    <mergeCell ref="A20:B2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8102E"/>
  </sheetPr>
  <dimension ref="A1:S157"/>
  <sheetViews>
    <sheetView showGridLines="0" topLeftCell="N1" zoomScaleNormal="100" workbookViewId="0">
      <pane ySplit="4" topLeftCell="A154" activePane="bottomLeft" state="frozen"/>
      <selection pane="bottomLeft" sqref="A1:S1"/>
    </sheetView>
  </sheetViews>
  <sheetFormatPr defaultColWidth="8.6640625" defaultRowHeight="14.4" x14ac:dyDescent="0.3"/>
  <cols>
    <col min="1" max="1" width="6" customWidth="1"/>
    <col min="2" max="2" width="13" customWidth="1"/>
    <col min="3" max="3" width="22" customWidth="1"/>
    <col min="4" max="4" width="18" customWidth="1"/>
    <col min="5" max="5" width="20" customWidth="1"/>
    <col min="6" max="6" width="16" customWidth="1"/>
    <col min="7" max="9" width="10" customWidth="1"/>
    <col min="10" max="10" width="12" customWidth="1"/>
    <col min="11" max="11" width="14" customWidth="1"/>
    <col min="12" max="12" width="13" customWidth="1"/>
    <col min="13" max="13" width="10" customWidth="1"/>
    <col min="14" max="14" width="14" customWidth="1"/>
    <col min="15" max="15" width="12" customWidth="1"/>
    <col min="16" max="16" width="29.6640625" bestFit="1" customWidth="1"/>
    <col min="17" max="17" width="65.21875" bestFit="1" customWidth="1"/>
    <col min="18" max="18" width="71.77734375" bestFit="1" customWidth="1"/>
    <col min="19" max="19" width="14" customWidth="1"/>
  </cols>
  <sheetData>
    <row r="1" spans="1:19" ht="36" customHeight="1" x14ac:dyDescent="0.3">
      <c r="A1" s="2" t="s">
        <v>219</v>
      </c>
      <c r="B1" s="2"/>
      <c r="C1" s="2"/>
      <c r="D1" s="2"/>
      <c r="E1" s="2"/>
      <c r="F1" s="2"/>
      <c r="G1" s="2"/>
      <c r="H1" s="2"/>
      <c r="I1" s="2"/>
      <c r="J1" s="2"/>
      <c r="K1" s="2"/>
      <c r="L1" s="2"/>
      <c r="M1" s="2"/>
      <c r="N1" s="2"/>
      <c r="O1" s="2"/>
      <c r="P1" s="2"/>
      <c r="Q1" s="2"/>
      <c r="R1" s="2"/>
      <c r="S1" s="2"/>
    </row>
    <row r="2" spans="1:19" ht="21.75" customHeight="1" x14ac:dyDescent="0.3">
      <c r="A2" s="1" t="s">
        <v>220</v>
      </c>
      <c r="B2" s="1"/>
      <c r="C2" s="1"/>
      <c r="D2" s="1"/>
      <c r="E2" s="1"/>
      <c r="F2" s="1"/>
      <c r="G2" s="1"/>
      <c r="H2" s="1"/>
      <c r="I2" s="1"/>
      <c r="J2" s="1"/>
      <c r="K2" s="1"/>
      <c r="L2" s="1"/>
      <c r="M2" s="1"/>
      <c r="N2" s="1"/>
      <c r="O2" s="1"/>
      <c r="P2" s="1"/>
      <c r="Q2" s="1"/>
      <c r="R2" s="1"/>
      <c r="S2" s="1"/>
    </row>
    <row r="3" spans="1:19" ht="3.75" customHeight="1" x14ac:dyDescent="0.3">
      <c r="A3" s="141"/>
      <c r="B3" s="141"/>
      <c r="C3" s="141"/>
      <c r="D3" s="141"/>
      <c r="E3" s="141"/>
      <c r="F3" s="141"/>
      <c r="G3" s="141"/>
      <c r="H3" s="141"/>
      <c r="I3" s="141"/>
      <c r="J3" s="141"/>
      <c r="K3" s="141"/>
      <c r="L3" s="141"/>
      <c r="M3" s="141"/>
      <c r="N3" s="141"/>
      <c r="O3" s="141"/>
      <c r="P3" s="141"/>
      <c r="Q3" s="141"/>
      <c r="R3" s="141"/>
      <c r="S3" s="141"/>
    </row>
    <row r="4" spans="1:19" ht="39.75" customHeight="1" x14ac:dyDescent="0.3">
      <c r="A4" s="42" t="s">
        <v>221</v>
      </c>
      <c r="B4" s="42" t="s">
        <v>222</v>
      </c>
      <c r="C4" s="42" t="s">
        <v>223</v>
      </c>
      <c r="D4" s="42" t="s">
        <v>224</v>
      </c>
      <c r="E4" s="42" t="s">
        <v>225</v>
      </c>
      <c r="F4" s="42" t="s">
        <v>226</v>
      </c>
      <c r="G4" s="43" t="s">
        <v>227</v>
      </c>
      <c r="H4" s="43" t="s">
        <v>228</v>
      </c>
      <c r="I4" s="43" t="s">
        <v>229</v>
      </c>
      <c r="J4" s="43" t="s">
        <v>230</v>
      </c>
      <c r="K4" s="44" t="s">
        <v>231</v>
      </c>
      <c r="L4" s="44" t="s">
        <v>232</v>
      </c>
      <c r="M4" s="45" t="s">
        <v>233</v>
      </c>
      <c r="N4" s="45" t="s">
        <v>234</v>
      </c>
      <c r="O4" s="45" t="s">
        <v>235</v>
      </c>
      <c r="P4" s="46" t="s">
        <v>236</v>
      </c>
      <c r="Q4" s="47" t="s">
        <v>237</v>
      </c>
      <c r="R4" s="47" t="s">
        <v>238</v>
      </c>
      <c r="S4" s="48" t="s">
        <v>239</v>
      </c>
    </row>
    <row r="5" spans="1:19" ht="21.75" customHeight="1" x14ac:dyDescent="0.3">
      <c r="A5" s="49">
        <v>1</v>
      </c>
      <c r="B5" s="50" t="s">
        <v>240</v>
      </c>
      <c r="C5" s="51" t="s">
        <v>241</v>
      </c>
      <c r="D5" s="51" t="s">
        <v>242</v>
      </c>
      <c r="E5" s="51" t="s">
        <v>243</v>
      </c>
      <c r="F5" s="52" t="s">
        <v>244</v>
      </c>
      <c r="G5" s="52" t="s">
        <v>245</v>
      </c>
      <c r="H5" s="52" t="s">
        <v>245</v>
      </c>
      <c r="I5" s="52" t="s">
        <v>246</v>
      </c>
      <c r="J5" s="52" t="s">
        <v>246</v>
      </c>
      <c r="K5" s="52">
        <v>18</v>
      </c>
      <c r="L5" s="52">
        <v>900</v>
      </c>
      <c r="M5" s="50" t="s">
        <v>245</v>
      </c>
      <c r="N5" s="50" t="s">
        <v>247</v>
      </c>
      <c r="O5" s="52" t="s">
        <v>245</v>
      </c>
      <c r="P5" s="51" t="s">
        <v>248</v>
      </c>
      <c r="Q5" s="51" t="s">
        <v>249</v>
      </c>
      <c r="R5" s="51" t="s">
        <v>250</v>
      </c>
      <c r="S5" s="52" t="s">
        <v>246</v>
      </c>
    </row>
    <row r="6" spans="1:19" ht="21.75" customHeight="1" x14ac:dyDescent="0.3">
      <c r="A6" s="53">
        <v>2</v>
      </c>
      <c r="B6" s="54" t="s">
        <v>240</v>
      </c>
      <c r="C6" s="55" t="s">
        <v>251</v>
      </c>
      <c r="D6" s="55" t="s">
        <v>252</v>
      </c>
      <c r="E6" s="55" t="s">
        <v>243</v>
      </c>
      <c r="F6" s="56" t="s">
        <v>253</v>
      </c>
      <c r="G6" s="56" t="s">
        <v>245</v>
      </c>
      <c r="H6" s="56" t="s">
        <v>245</v>
      </c>
      <c r="I6" s="56" t="s">
        <v>245</v>
      </c>
      <c r="J6" s="56" t="s">
        <v>245</v>
      </c>
      <c r="K6" s="56">
        <v>32</v>
      </c>
      <c r="L6" s="56">
        <v>1600</v>
      </c>
      <c r="M6" s="54" t="s">
        <v>245</v>
      </c>
      <c r="N6" s="54" t="s">
        <v>254</v>
      </c>
      <c r="O6" s="56" t="s">
        <v>245</v>
      </c>
      <c r="P6" s="55" t="s">
        <v>255</v>
      </c>
      <c r="Q6" s="55" t="s">
        <v>256</v>
      </c>
      <c r="R6" s="55" t="s">
        <v>257</v>
      </c>
      <c r="S6" s="56" t="s">
        <v>245</v>
      </c>
    </row>
    <row r="7" spans="1:19" ht="21.75" customHeight="1" x14ac:dyDescent="0.3">
      <c r="A7" s="49">
        <v>3</v>
      </c>
      <c r="B7" s="50" t="s">
        <v>240</v>
      </c>
      <c r="C7" s="51" t="s">
        <v>258</v>
      </c>
      <c r="D7" s="51" t="s">
        <v>259</v>
      </c>
      <c r="E7" s="51" t="s">
        <v>243</v>
      </c>
      <c r="F7" s="52" t="s">
        <v>260</v>
      </c>
      <c r="G7" s="52" t="s">
        <v>246</v>
      </c>
      <c r="H7" s="52" t="s">
        <v>245</v>
      </c>
      <c r="I7" s="52" t="s">
        <v>246</v>
      </c>
      <c r="J7" s="52" t="s">
        <v>245</v>
      </c>
      <c r="K7" s="52">
        <v>14</v>
      </c>
      <c r="L7" s="52">
        <v>700</v>
      </c>
      <c r="M7" s="50" t="s">
        <v>245</v>
      </c>
      <c r="N7" s="50" t="s">
        <v>247</v>
      </c>
      <c r="O7" s="52" t="s">
        <v>245</v>
      </c>
      <c r="P7" s="51" t="s">
        <v>261</v>
      </c>
      <c r="Q7" s="51" t="s">
        <v>262</v>
      </c>
      <c r="R7" s="51" t="s">
        <v>263</v>
      </c>
      <c r="S7" s="52" t="s">
        <v>245</v>
      </c>
    </row>
    <row r="8" spans="1:19" ht="21.75" customHeight="1" x14ac:dyDescent="0.3">
      <c r="A8" s="53">
        <v>4</v>
      </c>
      <c r="B8" s="54" t="s">
        <v>240</v>
      </c>
      <c r="C8" s="55" t="s">
        <v>264</v>
      </c>
      <c r="D8" s="55" t="s">
        <v>265</v>
      </c>
      <c r="E8" s="55" t="s">
        <v>243</v>
      </c>
      <c r="F8" s="56" t="s">
        <v>266</v>
      </c>
      <c r="G8" s="56" t="s">
        <v>246</v>
      </c>
      <c r="H8" s="56" t="s">
        <v>245</v>
      </c>
      <c r="I8" s="56" t="s">
        <v>245</v>
      </c>
      <c r="J8" s="56" t="s">
        <v>246</v>
      </c>
      <c r="K8" s="56">
        <v>10</v>
      </c>
      <c r="L8" s="56">
        <v>500</v>
      </c>
      <c r="M8" s="54" t="s">
        <v>245</v>
      </c>
      <c r="N8" s="54" t="s">
        <v>267</v>
      </c>
      <c r="O8" s="56" t="s">
        <v>246</v>
      </c>
      <c r="P8" s="55" t="s">
        <v>268</v>
      </c>
      <c r="Q8" s="55" t="s">
        <v>269</v>
      </c>
      <c r="R8" s="55" t="s">
        <v>270</v>
      </c>
      <c r="S8" s="56" t="s">
        <v>245</v>
      </c>
    </row>
    <row r="9" spans="1:19" ht="21.75" customHeight="1" x14ac:dyDescent="0.3">
      <c r="A9" s="49">
        <v>5</v>
      </c>
      <c r="B9" s="50" t="s">
        <v>240</v>
      </c>
      <c r="C9" s="51" t="s">
        <v>271</v>
      </c>
      <c r="D9" s="51" t="s">
        <v>272</v>
      </c>
      <c r="E9" s="51" t="s">
        <v>243</v>
      </c>
      <c r="F9" s="52" t="s">
        <v>273</v>
      </c>
      <c r="G9" s="52" t="s">
        <v>246</v>
      </c>
      <c r="H9" s="52" t="s">
        <v>246</v>
      </c>
      <c r="I9" s="52" t="s">
        <v>245</v>
      </c>
      <c r="J9" s="52" t="s">
        <v>246</v>
      </c>
      <c r="K9" s="52">
        <v>6</v>
      </c>
      <c r="L9" s="52">
        <v>300</v>
      </c>
      <c r="M9" s="50" t="s">
        <v>246</v>
      </c>
      <c r="N9" s="50" t="s">
        <v>274</v>
      </c>
      <c r="O9" s="52" t="s">
        <v>246</v>
      </c>
      <c r="P9" s="51" t="s">
        <v>248</v>
      </c>
      <c r="Q9" s="51" t="s">
        <v>275</v>
      </c>
      <c r="R9" s="51" t="s">
        <v>276</v>
      </c>
      <c r="S9" s="52" t="s">
        <v>246</v>
      </c>
    </row>
    <row r="10" spans="1:19" ht="21.75" customHeight="1" x14ac:dyDescent="0.3">
      <c r="A10" s="53">
        <v>6</v>
      </c>
      <c r="B10" s="54" t="s">
        <v>240</v>
      </c>
      <c r="C10" s="55" t="s">
        <v>277</v>
      </c>
      <c r="D10" s="55" t="s">
        <v>278</v>
      </c>
      <c r="E10" s="55" t="s">
        <v>243</v>
      </c>
      <c r="F10" s="56" t="s">
        <v>266</v>
      </c>
      <c r="G10" s="56" t="s">
        <v>246</v>
      </c>
      <c r="H10" s="56" t="s">
        <v>245</v>
      </c>
      <c r="I10" s="56" t="s">
        <v>245</v>
      </c>
      <c r="J10" s="56" t="s">
        <v>246</v>
      </c>
      <c r="K10" s="56">
        <v>12</v>
      </c>
      <c r="L10" s="56">
        <v>600</v>
      </c>
      <c r="M10" s="54" t="s">
        <v>245</v>
      </c>
      <c r="N10" s="54" t="s">
        <v>267</v>
      </c>
      <c r="O10" s="56" t="s">
        <v>245</v>
      </c>
      <c r="P10" s="55" t="s">
        <v>279</v>
      </c>
      <c r="Q10" s="55" t="s">
        <v>280</v>
      </c>
      <c r="R10" s="55" t="s">
        <v>281</v>
      </c>
      <c r="S10" s="56" t="s">
        <v>245</v>
      </c>
    </row>
    <row r="11" spans="1:19" ht="21.75" customHeight="1" x14ac:dyDescent="0.3">
      <c r="A11" s="49">
        <v>7</v>
      </c>
      <c r="B11" s="50" t="s">
        <v>240</v>
      </c>
      <c r="C11" s="51" t="s">
        <v>282</v>
      </c>
      <c r="D11" s="51" t="s">
        <v>283</v>
      </c>
      <c r="E11" s="51" t="s">
        <v>243</v>
      </c>
      <c r="F11" s="52" t="s">
        <v>284</v>
      </c>
      <c r="G11" s="52" t="s">
        <v>245</v>
      </c>
      <c r="H11" s="52" t="s">
        <v>245</v>
      </c>
      <c r="I11" s="52" t="s">
        <v>245</v>
      </c>
      <c r="J11" s="52" t="s">
        <v>245</v>
      </c>
      <c r="K11" s="52">
        <v>28</v>
      </c>
      <c r="L11" s="52">
        <v>1400</v>
      </c>
      <c r="M11" s="50" t="s">
        <v>245</v>
      </c>
      <c r="N11" s="50" t="s">
        <v>254</v>
      </c>
      <c r="O11" s="52" t="s">
        <v>245</v>
      </c>
      <c r="P11" s="51" t="s">
        <v>285</v>
      </c>
      <c r="Q11" s="51" t="s">
        <v>286</v>
      </c>
      <c r="R11" s="51" t="s">
        <v>287</v>
      </c>
      <c r="S11" s="52" t="s">
        <v>245</v>
      </c>
    </row>
    <row r="12" spans="1:19" ht="21.75" customHeight="1" x14ac:dyDescent="0.3">
      <c r="A12" s="53">
        <v>8</v>
      </c>
      <c r="B12" s="54" t="s">
        <v>240</v>
      </c>
      <c r="C12" s="55" t="s">
        <v>288</v>
      </c>
      <c r="D12" s="55" t="s">
        <v>289</v>
      </c>
      <c r="E12" s="55" t="s">
        <v>243</v>
      </c>
      <c r="F12" s="56" t="s">
        <v>284</v>
      </c>
      <c r="G12" s="56" t="s">
        <v>245</v>
      </c>
      <c r="H12" s="56" t="s">
        <v>245</v>
      </c>
      <c r="I12" s="56" t="s">
        <v>246</v>
      </c>
      <c r="J12" s="56" t="s">
        <v>246</v>
      </c>
      <c r="K12" s="56">
        <v>16</v>
      </c>
      <c r="L12" s="56">
        <v>800</v>
      </c>
      <c r="M12" s="54" t="s">
        <v>245</v>
      </c>
      <c r="N12" s="54" t="s">
        <v>247</v>
      </c>
      <c r="O12" s="56" t="s">
        <v>245</v>
      </c>
      <c r="P12" s="55" t="s">
        <v>290</v>
      </c>
      <c r="Q12" s="55" t="s">
        <v>291</v>
      </c>
      <c r="R12" s="55" t="s">
        <v>292</v>
      </c>
      <c r="S12" s="56" t="s">
        <v>245</v>
      </c>
    </row>
    <row r="13" spans="1:19" ht="21.75" customHeight="1" x14ac:dyDescent="0.3">
      <c r="A13" s="49">
        <v>9</v>
      </c>
      <c r="B13" s="50" t="s">
        <v>240</v>
      </c>
      <c r="C13" s="51" t="s">
        <v>293</v>
      </c>
      <c r="D13" s="51" t="s">
        <v>294</v>
      </c>
      <c r="E13" s="51" t="s">
        <v>243</v>
      </c>
      <c r="F13" s="52" t="s">
        <v>266</v>
      </c>
      <c r="G13" s="52" t="s">
        <v>246</v>
      </c>
      <c r="H13" s="52" t="s">
        <v>245</v>
      </c>
      <c r="I13" s="52" t="s">
        <v>245</v>
      </c>
      <c r="J13" s="52" t="s">
        <v>246</v>
      </c>
      <c r="K13" s="52">
        <v>9</v>
      </c>
      <c r="L13" s="52">
        <v>450</v>
      </c>
      <c r="M13" s="50" t="s">
        <v>246</v>
      </c>
      <c r="N13" s="50" t="s">
        <v>274</v>
      </c>
      <c r="O13" s="52" t="s">
        <v>246</v>
      </c>
      <c r="P13" s="51" t="s">
        <v>295</v>
      </c>
      <c r="Q13" s="51" t="s">
        <v>296</v>
      </c>
      <c r="R13" s="51" t="s">
        <v>297</v>
      </c>
      <c r="S13" s="52" t="s">
        <v>245</v>
      </c>
    </row>
    <row r="14" spans="1:19" ht="21.75" customHeight="1" x14ac:dyDescent="0.3">
      <c r="A14" s="53">
        <v>10</v>
      </c>
      <c r="B14" s="54" t="s">
        <v>240</v>
      </c>
      <c r="C14" s="55" t="s">
        <v>298</v>
      </c>
      <c r="D14" s="55" t="s">
        <v>299</v>
      </c>
      <c r="E14" s="55" t="s">
        <v>243</v>
      </c>
      <c r="F14" s="56" t="s">
        <v>260</v>
      </c>
      <c r="G14" s="56" t="s">
        <v>246</v>
      </c>
      <c r="H14" s="56" t="s">
        <v>245</v>
      </c>
      <c r="I14" s="56" t="s">
        <v>246</v>
      </c>
      <c r="J14" s="56" t="s">
        <v>300</v>
      </c>
      <c r="K14" s="56">
        <v>15</v>
      </c>
      <c r="L14" s="56">
        <v>750</v>
      </c>
      <c r="M14" s="54" t="s">
        <v>245</v>
      </c>
      <c r="N14" s="54" t="s">
        <v>247</v>
      </c>
      <c r="O14" s="56" t="s">
        <v>245</v>
      </c>
      <c r="P14" s="55" t="s">
        <v>301</v>
      </c>
      <c r="Q14" s="55" t="s">
        <v>302</v>
      </c>
      <c r="R14" s="55" t="s">
        <v>303</v>
      </c>
      <c r="S14" s="56" t="s">
        <v>245</v>
      </c>
    </row>
    <row r="15" spans="1:19" ht="21.75" customHeight="1" x14ac:dyDescent="0.3">
      <c r="A15" s="49">
        <v>11</v>
      </c>
      <c r="B15" s="50" t="s">
        <v>304</v>
      </c>
      <c r="C15" s="51" t="s">
        <v>305</v>
      </c>
      <c r="D15" s="51" t="s">
        <v>306</v>
      </c>
      <c r="E15" s="51" t="s">
        <v>307</v>
      </c>
      <c r="F15" s="52" t="s">
        <v>284</v>
      </c>
      <c r="G15" s="52" t="s">
        <v>245</v>
      </c>
      <c r="H15" s="52" t="s">
        <v>245</v>
      </c>
      <c r="I15" s="52" t="s">
        <v>246</v>
      </c>
      <c r="J15" s="52" t="s">
        <v>245</v>
      </c>
      <c r="K15" s="52">
        <v>22</v>
      </c>
      <c r="L15" s="52">
        <v>1100</v>
      </c>
      <c r="M15" s="50" t="s">
        <v>245</v>
      </c>
      <c r="N15" s="50" t="s">
        <v>247</v>
      </c>
      <c r="O15" s="52" t="s">
        <v>245</v>
      </c>
      <c r="P15" s="51" t="s">
        <v>308</v>
      </c>
      <c r="Q15" s="51" t="s">
        <v>309</v>
      </c>
      <c r="R15" s="51" t="s">
        <v>310</v>
      </c>
      <c r="S15" s="52" t="s">
        <v>245</v>
      </c>
    </row>
    <row r="16" spans="1:19" ht="21.75" customHeight="1" x14ac:dyDescent="0.3">
      <c r="A16" s="53">
        <v>12</v>
      </c>
      <c r="B16" s="54" t="s">
        <v>304</v>
      </c>
      <c r="C16" s="55" t="s">
        <v>311</v>
      </c>
      <c r="D16" s="55" t="s">
        <v>278</v>
      </c>
      <c r="E16" s="55" t="s">
        <v>307</v>
      </c>
      <c r="F16" s="56" t="s">
        <v>284</v>
      </c>
      <c r="G16" s="56" t="s">
        <v>246</v>
      </c>
      <c r="H16" s="56" t="s">
        <v>245</v>
      </c>
      <c r="I16" s="56" t="s">
        <v>245</v>
      </c>
      <c r="J16" s="56" t="s">
        <v>245</v>
      </c>
      <c r="K16" s="56">
        <v>18</v>
      </c>
      <c r="L16" s="56">
        <v>900</v>
      </c>
      <c r="M16" s="54" t="s">
        <v>245</v>
      </c>
      <c r="N16" s="54" t="s">
        <v>267</v>
      </c>
      <c r="O16" s="56" t="s">
        <v>246</v>
      </c>
      <c r="P16" s="55" t="s">
        <v>312</v>
      </c>
      <c r="Q16" s="55" t="s">
        <v>313</v>
      </c>
      <c r="R16" s="55" t="s">
        <v>314</v>
      </c>
      <c r="S16" s="56" t="s">
        <v>245</v>
      </c>
    </row>
    <row r="17" spans="1:19" ht="21.75" customHeight="1" x14ac:dyDescent="0.3">
      <c r="A17" s="49">
        <v>13</v>
      </c>
      <c r="B17" s="50" t="s">
        <v>304</v>
      </c>
      <c r="C17" s="51" t="s">
        <v>315</v>
      </c>
      <c r="D17" s="51" t="s">
        <v>316</v>
      </c>
      <c r="E17" s="51" t="s">
        <v>307</v>
      </c>
      <c r="F17" s="52" t="s">
        <v>284</v>
      </c>
      <c r="G17" s="52" t="s">
        <v>245</v>
      </c>
      <c r="H17" s="52" t="s">
        <v>245</v>
      </c>
      <c r="I17" s="52" t="s">
        <v>245</v>
      </c>
      <c r="J17" s="52" t="s">
        <v>246</v>
      </c>
      <c r="K17" s="52">
        <v>24</v>
      </c>
      <c r="L17" s="52">
        <v>1200</v>
      </c>
      <c r="M17" s="50" t="s">
        <v>245</v>
      </c>
      <c r="N17" s="50" t="s">
        <v>254</v>
      </c>
      <c r="O17" s="52" t="s">
        <v>245</v>
      </c>
      <c r="P17" s="51" t="s">
        <v>317</v>
      </c>
      <c r="Q17" s="51" t="s">
        <v>318</v>
      </c>
      <c r="R17" s="51" t="s">
        <v>319</v>
      </c>
      <c r="S17" s="52" t="s">
        <v>246</v>
      </c>
    </row>
    <row r="18" spans="1:19" ht="21.75" customHeight="1" x14ac:dyDescent="0.3">
      <c r="A18" s="53">
        <v>14</v>
      </c>
      <c r="B18" s="54" t="s">
        <v>304</v>
      </c>
      <c r="C18" s="55" t="s">
        <v>320</v>
      </c>
      <c r="D18" s="55" t="s">
        <v>321</v>
      </c>
      <c r="E18" s="55" t="s">
        <v>307</v>
      </c>
      <c r="F18" s="56" t="s">
        <v>253</v>
      </c>
      <c r="G18" s="56" t="s">
        <v>245</v>
      </c>
      <c r="H18" s="56" t="s">
        <v>245</v>
      </c>
      <c r="I18" s="56" t="s">
        <v>245</v>
      </c>
      <c r="J18" s="56" t="s">
        <v>245</v>
      </c>
      <c r="K18" s="56">
        <v>35</v>
      </c>
      <c r="L18" s="56">
        <v>1750</v>
      </c>
      <c r="M18" s="54" t="s">
        <v>245</v>
      </c>
      <c r="N18" s="54" t="s">
        <v>254</v>
      </c>
      <c r="O18" s="56" t="s">
        <v>245</v>
      </c>
      <c r="P18" s="55" t="s">
        <v>255</v>
      </c>
      <c r="Q18" s="55" t="s">
        <v>322</v>
      </c>
      <c r="R18" s="55" t="s">
        <v>323</v>
      </c>
      <c r="S18" s="56" t="s">
        <v>246</v>
      </c>
    </row>
    <row r="19" spans="1:19" ht="21.75" customHeight="1" x14ac:dyDescent="0.3">
      <c r="A19" s="49">
        <v>15</v>
      </c>
      <c r="B19" s="50" t="s">
        <v>304</v>
      </c>
      <c r="C19" s="51" t="s">
        <v>324</v>
      </c>
      <c r="D19" s="51" t="s">
        <v>325</v>
      </c>
      <c r="E19" s="51" t="s">
        <v>307</v>
      </c>
      <c r="F19" s="52" t="s">
        <v>253</v>
      </c>
      <c r="G19" s="52" t="s">
        <v>245</v>
      </c>
      <c r="H19" s="52" t="s">
        <v>245</v>
      </c>
      <c r="I19" s="52" t="s">
        <v>245</v>
      </c>
      <c r="J19" s="52" t="s">
        <v>246</v>
      </c>
      <c r="K19" s="52">
        <v>20</v>
      </c>
      <c r="L19" s="52">
        <v>1000</v>
      </c>
      <c r="M19" s="50" t="s">
        <v>245</v>
      </c>
      <c r="N19" s="50" t="s">
        <v>247</v>
      </c>
      <c r="O19" s="52" t="s">
        <v>245</v>
      </c>
      <c r="P19" s="51" t="s">
        <v>326</v>
      </c>
      <c r="Q19" s="51" t="s">
        <v>327</v>
      </c>
      <c r="R19" s="51" t="s">
        <v>328</v>
      </c>
      <c r="S19" s="52" t="s">
        <v>245</v>
      </c>
    </row>
    <row r="20" spans="1:19" ht="21.75" customHeight="1" x14ac:dyDescent="0.3">
      <c r="A20" s="53">
        <v>16</v>
      </c>
      <c r="B20" s="54" t="s">
        <v>304</v>
      </c>
      <c r="C20" s="55" t="s">
        <v>329</v>
      </c>
      <c r="D20" s="55" t="s">
        <v>330</v>
      </c>
      <c r="E20" s="55" t="s">
        <v>307</v>
      </c>
      <c r="F20" s="56" t="s">
        <v>284</v>
      </c>
      <c r="G20" s="56" t="s">
        <v>245</v>
      </c>
      <c r="H20" s="56" t="s">
        <v>245</v>
      </c>
      <c r="I20" s="56" t="s">
        <v>246</v>
      </c>
      <c r="J20" s="56" t="s">
        <v>246</v>
      </c>
      <c r="K20" s="56">
        <v>14</v>
      </c>
      <c r="L20" s="56">
        <v>700</v>
      </c>
      <c r="M20" s="54" t="s">
        <v>245</v>
      </c>
      <c r="N20" s="54" t="s">
        <v>247</v>
      </c>
      <c r="O20" s="56" t="s">
        <v>245</v>
      </c>
      <c r="P20" s="55" t="s">
        <v>290</v>
      </c>
      <c r="Q20" s="55" t="s">
        <v>331</v>
      </c>
      <c r="R20" s="55" t="s">
        <v>332</v>
      </c>
      <c r="S20" s="56" t="s">
        <v>245</v>
      </c>
    </row>
    <row r="21" spans="1:19" ht="21.75" customHeight="1" x14ac:dyDescent="0.3">
      <c r="A21" s="49">
        <v>17</v>
      </c>
      <c r="B21" s="50" t="s">
        <v>304</v>
      </c>
      <c r="C21" s="51" t="s">
        <v>333</v>
      </c>
      <c r="D21" s="51" t="s">
        <v>334</v>
      </c>
      <c r="E21" s="51" t="s">
        <v>307</v>
      </c>
      <c r="F21" s="52" t="s">
        <v>284</v>
      </c>
      <c r="G21" s="52" t="s">
        <v>246</v>
      </c>
      <c r="H21" s="52" t="s">
        <v>245</v>
      </c>
      <c r="I21" s="52" t="s">
        <v>245</v>
      </c>
      <c r="J21" s="52" t="s">
        <v>245</v>
      </c>
      <c r="K21" s="52">
        <v>16</v>
      </c>
      <c r="L21" s="52">
        <v>800</v>
      </c>
      <c r="M21" s="50" t="s">
        <v>246</v>
      </c>
      <c r="N21" s="50" t="s">
        <v>274</v>
      </c>
      <c r="O21" s="52" t="s">
        <v>246</v>
      </c>
      <c r="P21" s="51" t="s">
        <v>335</v>
      </c>
      <c r="Q21" s="51" t="s">
        <v>336</v>
      </c>
      <c r="R21" s="51" t="s">
        <v>337</v>
      </c>
      <c r="S21" s="52" t="s">
        <v>245</v>
      </c>
    </row>
    <row r="22" spans="1:19" ht="21.75" customHeight="1" x14ac:dyDescent="0.3">
      <c r="A22" s="53">
        <v>18</v>
      </c>
      <c r="B22" s="54" t="s">
        <v>304</v>
      </c>
      <c r="C22" s="55" t="s">
        <v>338</v>
      </c>
      <c r="D22" s="55" t="s">
        <v>339</v>
      </c>
      <c r="E22" s="55" t="s">
        <v>307</v>
      </c>
      <c r="F22" s="56" t="s">
        <v>253</v>
      </c>
      <c r="G22" s="56" t="s">
        <v>245</v>
      </c>
      <c r="H22" s="56" t="s">
        <v>245</v>
      </c>
      <c r="I22" s="56" t="s">
        <v>245</v>
      </c>
      <c r="J22" s="56" t="s">
        <v>245</v>
      </c>
      <c r="K22" s="56">
        <v>30</v>
      </c>
      <c r="L22" s="56">
        <v>1500</v>
      </c>
      <c r="M22" s="54" t="s">
        <v>245</v>
      </c>
      <c r="N22" s="54" t="s">
        <v>254</v>
      </c>
      <c r="O22" s="56" t="s">
        <v>245</v>
      </c>
      <c r="P22" s="55" t="s">
        <v>340</v>
      </c>
      <c r="Q22" s="55" t="s">
        <v>341</v>
      </c>
      <c r="R22" s="55" t="s">
        <v>342</v>
      </c>
      <c r="S22" s="56" t="s">
        <v>246</v>
      </c>
    </row>
    <row r="23" spans="1:19" ht="21.75" customHeight="1" x14ac:dyDescent="0.3">
      <c r="A23" s="49">
        <v>19</v>
      </c>
      <c r="B23" s="50" t="s">
        <v>304</v>
      </c>
      <c r="C23" s="51" t="s">
        <v>343</v>
      </c>
      <c r="D23" s="51" t="s">
        <v>344</v>
      </c>
      <c r="E23" s="51" t="s">
        <v>307</v>
      </c>
      <c r="F23" s="52" t="s">
        <v>284</v>
      </c>
      <c r="G23" s="52" t="s">
        <v>245</v>
      </c>
      <c r="H23" s="52" t="s">
        <v>245</v>
      </c>
      <c r="I23" s="52" t="s">
        <v>246</v>
      </c>
      <c r="J23" s="52" t="s">
        <v>246</v>
      </c>
      <c r="K23" s="52">
        <v>18</v>
      </c>
      <c r="L23" s="52">
        <v>900</v>
      </c>
      <c r="M23" s="50" t="s">
        <v>245</v>
      </c>
      <c r="N23" s="50" t="s">
        <v>247</v>
      </c>
      <c r="O23" s="52" t="s">
        <v>245</v>
      </c>
      <c r="P23" s="51" t="s">
        <v>345</v>
      </c>
      <c r="Q23" s="51" t="s">
        <v>346</v>
      </c>
      <c r="R23" s="51" t="s">
        <v>347</v>
      </c>
      <c r="S23" s="52" t="s">
        <v>245</v>
      </c>
    </row>
    <row r="24" spans="1:19" ht="21.75" customHeight="1" x14ac:dyDescent="0.3">
      <c r="A24" s="53">
        <v>20</v>
      </c>
      <c r="B24" s="54" t="s">
        <v>304</v>
      </c>
      <c r="C24" s="55" t="s">
        <v>348</v>
      </c>
      <c r="D24" s="55" t="s">
        <v>349</v>
      </c>
      <c r="E24" s="55" t="s">
        <v>307</v>
      </c>
      <c r="F24" s="56" t="s">
        <v>273</v>
      </c>
      <c r="G24" s="56" t="s">
        <v>246</v>
      </c>
      <c r="H24" s="56" t="s">
        <v>246</v>
      </c>
      <c r="I24" s="56" t="s">
        <v>245</v>
      </c>
      <c r="J24" s="56" t="s">
        <v>246</v>
      </c>
      <c r="K24" s="56">
        <v>5</v>
      </c>
      <c r="L24" s="56">
        <v>250</v>
      </c>
      <c r="M24" s="54" t="s">
        <v>246</v>
      </c>
      <c r="N24" s="54" t="s">
        <v>274</v>
      </c>
      <c r="O24" s="56" t="s">
        <v>246</v>
      </c>
      <c r="P24" s="55" t="s">
        <v>248</v>
      </c>
      <c r="Q24" s="55" t="s">
        <v>350</v>
      </c>
      <c r="R24" s="55" t="s">
        <v>351</v>
      </c>
      <c r="S24" s="56" t="s">
        <v>246</v>
      </c>
    </row>
    <row r="25" spans="1:19" ht="21.75" customHeight="1" x14ac:dyDescent="0.3">
      <c r="A25" s="49">
        <v>21</v>
      </c>
      <c r="B25" s="50" t="s">
        <v>352</v>
      </c>
      <c r="C25" s="51" t="s">
        <v>353</v>
      </c>
      <c r="D25" s="51" t="s">
        <v>354</v>
      </c>
      <c r="E25" s="51" t="s">
        <v>307</v>
      </c>
      <c r="F25" s="52" t="s">
        <v>284</v>
      </c>
      <c r="G25" s="52" t="s">
        <v>246</v>
      </c>
      <c r="H25" s="52" t="s">
        <v>245</v>
      </c>
      <c r="I25" s="52" t="s">
        <v>245</v>
      </c>
      <c r="J25" s="52" t="s">
        <v>245</v>
      </c>
      <c r="K25" s="52">
        <v>20</v>
      </c>
      <c r="L25" s="52">
        <v>1000</v>
      </c>
      <c r="M25" s="50" t="s">
        <v>245</v>
      </c>
      <c r="N25" s="50" t="s">
        <v>267</v>
      </c>
      <c r="O25" s="52" t="s">
        <v>246</v>
      </c>
      <c r="P25" s="51" t="s">
        <v>335</v>
      </c>
      <c r="Q25" s="51" t="s">
        <v>355</v>
      </c>
      <c r="R25" s="51" t="s">
        <v>356</v>
      </c>
      <c r="S25" s="52" t="s">
        <v>245</v>
      </c>
    </row>
    <row r="26" spans="1:19" ht="21.75" customHeight="1" x14ac:dyDescent="0.3">
      <c r="A26" s="53">
        <v>22</v>
      </c>
      <c r="B26" s="54" t="s">
        <v>352</v>
      </c>
      <c r="C26" s="55" t="s">
        <v>357</v>
      </c>
      <c r="D26" s="55" t="s">
        <v>358</v>
      </c>
      <c r="E26" s="55" t="s">
        <v>307</v>
      </c>
      <c r="F26" s="56" t="s">
        <v>284</v>
      </c>
      <c r="G26" s="56" t="s">
        <v>245</v>
      </c>
      <c r="H26" s="56" t="s">
        <v>245</v>
      </c>
      <c r="I26" s="56" t="s">
        <v>245</v>
      </c>
      <c r="J26" s="56" t="s">
        <v>246</v>
      </c>
      <c r="K26" s="56">
        <v>25</v>
      </c>
      <c r="L26" s="56">
        <v>1250</v>
      </c>
      <c r="M26" s="54" t="s">
        <v>245</v>
      </c>
      <c r="N26" s="54" t="s">
        <v>247</v>
      </c>
      <c r="O26" s="56" t="s">
        <v>245</v>
      </c>
      <c r="P26" s="55" t="s">
        <v>359</v>
      </c>
      <c r="Q26" s="55" t="s">
        <v>360</v>
      </c>
      <c r="R26" s="55" t="s">
        <v>361</v>
      </c>
      <c r="S26" s="56" t="s">
        <v>246</v>
      </c>
    </row>
    <row r="27" spans="1:19" ht="21.75" customHeight="1" x14ac:dyDescent="0.3">
      <c r="A27" s="49">
        <v>23</v>
      </c>
      <c r="B27" s="50" t="s">
        <v>352</v>
      </c>
      <c r="C27" s="51" t="s">
        <v>362</v>
      </c>
      <c r="D27" s="51" t="s">
        <v>363</v>
      </c>
      <c r="E27" s="51" t="s">
        <v>307</v>
      </c>
      <c r="F27" s="52" t="s">
        <v>253</v>
      </c>
      <c r="G27" s="52" t="s">
        <v>245</v>
      </c>
      <c r="H27" s="52" t="s">
        <v>245</v>
      </c>
      <c r="I27" s="52" t="s">
        <v>245</v>
      </c>
      <c r="J27" s="52" t="s">
        <v>245</v>
      </c>
      <c r="K27" s="52">
        <v>32</v>
      </c>
      <c r="L27" s="52">
        <v>1600</v>
      </c>
      <c r="M27" s="50" t="s">
        <v>245</v>
      </c>
      <c r="N27" s="50" t="s">
        <v>254</v>
      </c>
      <c r="O27" s="52" t="s">
        <v>245</v>
      </c>
      <c r="P27" s="51" t="s">
        <v>317</v>
      </c>
      <c r="Q27" s="51" t="s">
        <v>364</v>
      </c>
      <c r="R27" s="51" t="s">
        <v>365</v>
      </c>
      <c r="S27" s="52" t="s">
        <v>245</v>
      </c>
    </row>
    <row r="28" spans="1:19" ht="21.75" customHeight="1" x14ac:dyDescent="0.3">
      <c r="A28" s="53">
        <v>24</v>
      </c>
      <c r="B28" s="54" t="s">
        <v>352</v>
      </c>
      <c r="C28" s="55" t="s">
        <v>366</v>
      </c>
      <c r="D28" s="55" t="s">
        <v>367</v>
      </c>
      <c r="E28" s="55" t="s">
        <v>307</v>
      </c>
      <c r="F28" s="56" t="s">
        <v>253</v>
      </c>
      <c r="G28" s="56" t="s">
        <v>245</v>
      </c>
      <c r="H28" s="56" t="s">
        <v>245</v>
      </c>
      <c r="I28" s="56" t="s">
        <v>245</v>
      </c>
      <c r="J28" s="56" t="s">
        <v>245</v>
      </c>
      <c r="K28" s="56">
        <v>28</v>
      </c>
      <c r="L28" s="56">
        <v>1400</v>
      </c>
      <c r="M28" s="54" t="s">
        <v>245</v>
      </c>
      <c r="N28" s="54" t="s">
        <v>247</v>
      </c>
      <c r="O28" s="56" t="s">
        <v>245</v>
      </c>
      <c r="P28" s="55" t="s">
        <v>368</v>
      </c>
      <c r="Q28" s="55" t="s">
        <v>369</v>
      </c>
      <c r="R28" s="55" t="s">
        <v>370</v>
      </c>
      <c r="S28" s="56" t="s">
        <v>245</v>
      </c>
    </row>
    <row r="29" spans="1:19" ht="21.75" customHeight="1" x14ac:dyDescent="0.3">
      <c r="A29" s="49">
        <v>25</v>
      </c>
      <c r="B29" s="50" t="s">
        <v>352</v>
      </c>
      <c r="C29" s="51" t="s">
        <v>371</v>
      </c>
      <c r="D29" s="51" t="s">
        <v>372</v>
      </c>
      <c r="E29" s="51" t="s">
        <v>307</v>
      </c>
      <c r="F29" s="52" t="s">
        <v>284</v>
      </c>
      <c r="G29" s="52" t="s">
        <v>245</v>
      </c>
      <c r="H29" s="52" t="s">
        <v>245</v>
      </c>
      <c r="I29" s="52" t="s">
        <v>246</v>
      </c>
      <c r="J29" s="52" t="s">
        <v>246</v>
      </c>
      <c r="K29" s="52">
        <v>15</v>
      </c>
      <c r="L29" s="52">
        <v>750</v>
      </c>
      <c r="M29" s="50" t="s">
        <v>245</v>
      </c>
      <c r="N29" s="50" t="s">
        <v>247</v>
      </c>
      <c r="O29" s="52" t="s">
        <v>245</v>
      </c>
      <c r="P29" s="51" t="s">
        <v>326</v>
      </c>
      <c r="Q29" s="51" t="s">
        <v>373</v>
      </c>
      <c r="R29" s="51" t="s">
        <v>374</v>
      </c>
      <c r="S29" s="52" t="s">
        <v>245</v>
      </c>
    </row>
    <row r="30" spans="1:19" ht="21.75" customHeight="1" x14ac:dyDescent="0.3">
      <c r="A30" s="53">
        <v>26</v>
      </c>
      <c r="B30" s="54" t="s">
        <v>352</v>
      </c>
      <c r="C30" s="55" t="s">
        <v>375</v>
      </c>
      <c r="D30" s="55" t="s">
        <v>376</v>
      </c>
      <c r="E30" s="55" t="s">
        <v>307</v>
      </c>
      <c r="F30" s="56" t="s">
        <v>253</v>
      </c>
      <c r="G30" s="56" t="s">
        <v>245</v>
      </c>
      <c r="H30" s="56" t="s">
        <v>245</v>
      </c>
      <c r="I30" s="56" t="s">
        <v>245</v>
      </c>
      <c r="J30" s="56" t="s">
        <v>245</v>
      </c>
      <c r="K30" s="56">
        <v>30</v>
      </c>
      <c r="L30" s="56">
        <v>1500</v>
      </c>
      <c r="M30" s="54" t="s">
        <v>245</v>
      </c>
      <c r="N30" s="54" t="s">
        <v>254</v>
      </c>
      <c r="O30" s="56" t="s">
        <v>245</v>
      </c>
      <c r="P30" s="55" t="s">
        <v>377</v>
      </c>
      <c r="Q30" s="55" t="s">
        <v>378</v>
      </c>
      <c r="R30" s="55" t="s">
        <v>379</v>
      </c>
      <c r="S30" s="56" t="s">
        <v>245</v>
      </c>
    </row>
    <row r="31" spans="1:19" ht="21.75" customHeight="1" x14ac:dyDescent="0.3">
      <c r="A31" s="49">
        <v>27</v>
      </c>
      <c r="B31" s="50" t="s">
        <v>352</v>
      </c>
      <c r="C31" s="51" t="s">
        <v>380</v>
      </c>
      <c r="D31" s="51" t="s">
        <v>381</v>
      </c>
      <c r="E31" s="51" t="s">
        <v>307</v>
      </c>
      <c r="F31" s="52" t="s">
        <v>253</v>
      </c>
      <c r="G31" s="52" t="s">
        <v>245</v>
      </c>
      <c r="H31" s="52" t="s">
        <v>245</v>
      </c>
      <c r="I31" s="52" t="s">
        <v>245</v>
      </c>
      <c r="J31" s="52" t="s">
        <v>246</v>
      </c>
      <c r="K31" s="52">
        <v>26</v>
      </c>
      <c r="L31" s="52">
        <v>1300</v>
      </c>
      <c r="M31" s="50" t="s">
        <v>245</v>
      </c>
      <c r="N31" s="50" t="s">
        <v>247</v>
      </c>
      <c r="O31" s="52" t="s">
        <v>245</v>
      </c>
      <c r="P31" s="51" t="s">
        <v>382</v>
      </c>
      <c r="Q31" s="51" t="s">
        <v>383</v>
      </c>
      <c r="R31" s="51" t="s">
        <v>384</v>
      </c>
      <c r="S31" s="52" t="s">
        <v>245</v>
      </c>
    </row>
    <row r="32" spans="1:19" ht="21.75" customHeight="1" x14ac:dyDescent="0.3">
      <c r="A32" s="53">
        <v>28</v>
      </c>
      <c r="B32" s="54" t="s">
        <v>352</v>
      </c>
      <c r="C32" s="55" t="s">
        <v>385</v>
      </c>
      <c r="D32" s="55" t="s">
        <v>386</v>
      </c>
      <c r="E32" s="55" t="s">
        <v>307</v>
      </c>
      <c r="F32" s="56" t="s">
        <v>266</v>
      </c>
      <c r="G32" s="56" t="s">
        <v>246</v>
      </c>
      <c r="H32" s="56" t="s">
        <v>245</v>
      </c>
      <c r="I32" s="56" t="s">
        <v>245</v>
      </c>
      <c r="J32" s="56" t="s">
        <v>246</v>
      </c>
      <c r="K32" s="56">
        <v>10</v>
      </c>
      <c r="L32" s="56">
        <v>500</v>
      </c>
      <c r="M32" s="54" t="s">
        <v>245</v>
      </c>
      <c r="N32" s="54" t="s">
        <v>267</v>
      </c>
      <c r="O32" s="56" t="s">
        <v>246</v>
      </c>
      <c r="P32" s="55" t="s">
        <v>279</v>
      </c>
      <c r="Q32" s="55" t="s">
        <v>387</v>
      </c>
      <c r="R32" s="55" t="s">
        <v>388</v>
      </c>
      <c r="S32" s="56" t="s">
        <v>245</v>
      </c>
    </row>
    <row r="33" spans="1:19" ht="21.75" customHeight="1" x14ac:dyDescent="0.3">
      <c r="A33" s="49">
        <v>29</v>
      </c>
      <c r="B33" s="50" t="s">
        <v>352</v>
      </c>
      <c r="C33" s="51" t="s">
        <v>389</v>
      </c>
      <c r="D33" s="51" t="s">
        <v>390</v>
      </c>
      <c r="E33" s="51" t="s">
        <v>307</v>
      </c>
      <c r="F33" s="52" t="s">
        <v>253</v>
      </c>
      <c r="G33" s="52" t="s">
        <v>245</v>
      </c>
      <c r="H33" s="52" t="s">
        <v>245</v>
      </c>
      <c r="I33" s="52" t="s">
        <v>245</v>
      </c>
      <c r="J33" s="52" t="s">
        <v>245</v>
      </c>
      <c r="K33" s="52">
        <v>24</v>
      </c>
      <c r="L33" s="52">
        <v>1200</v>
      </c>
      <c r="M33" s="50" t="s">
        <v>245</v>
      </c>
      <c r="N33" s="50" t="s">
        <v>247</v>
      </c>
      <c r="O33" s="52" t="s">
        <v>245</v>
      </c>
      <c r="P33" s="51" t="s">
        <v>391</v>
      </c>
      <c r="Q33" s="51" t="s">
        <v>392</v>
      </c>
      <c r="R33" s="51" t="s">
        <v>393</v>
      </c>
      <c r="S33" s="52" t="s">
        <v>246</v>
      </c>
    </row>
    <row r="34" spans="1:19" ht="21.75" customHeight="1" x14ac:dyDescent="0.3">
      <c r="A34" s="53">
        <v>30</v>
      </c>
      <c r="B34" s="54" t="s">
        <v>352</v>
      </c>
      <c r="C34" s="55" t="s">
        <v>394</v>
      </c>
      <c r="D34" s="55" t="s">
        <v>395</v>
      </c>
      <c r="E34" s="55" t="s">
        <v>307</v>
      </c>
      <c r="F34" s="56" t="s">
        <v>253</v>
      </c>
      <c r="G34" s="56" t="s">
        <v>245</v>
      </c>
      <c r="H34" s="56" t="s">
        <v>245</v>
      </c>
      <c r="I34" s="56" t="s">
        <v>245</v>
      </c>
      <c r="J34" s="56" t="s">
        <v>245</v>
      </c>
      <c r="K34" s="56">
        <v>22</v>
      </c>
      <c r="L34" s="56">
        <v>1100</v>
      </c>
      <c r="M34" s="54" t="s">
        <v>245</v>
      </c>
      <c r="N34" s="54" t="s">
        <v>247</v>
      </c>
      <c r="O34" s="56" t="s">
        <v>245</v>
      </c>
      <c r="P34" s="55" t="s">
        <v>396</v>
      </c>
      <c r="Q34" s="55" t="s">
        <v>397</v>
      </c>
      <c r="R34" s="55" t="s">
        <v>398</v>
      </c>
      <c r="S34" s="56" t="s">
        <v>245</v>
      </c>
    </row>
    <row r="35" spans="1:19" ht="21.75" customHeight="1" x14ac:dyDescent="0.3">
      <c r="A35" s="49">
        <v>31</v>
      </c>
      <c r="B35" s="50" t="s">
        <v>399</v>
      </c>
      <c r="C35" s="51" t="s">
        <v>400</v>
      </c>
      <c r="D35" s="51" t="s">
        <v>401</v>
      </c>
      <c r="E35" s="51" t="s">
        <v>243</v>
      </c>
      <c r="F35" s="52" t="s">
        <v>253</v>
      </c>
      <c r="G35" s="52" t="s">
        <v>245</v>
      </c>
      <c r="H35" s="52" t="s">
        <v>245</v>
      </c>
      <c r="I35" s="52" t="s">
        <v>245</v>
      </c>
      <c r="J35" s="52" t="s">
        <v>245</v>
      </c>
      <c r="K35" s="52">
        <v>28</v>
      </c>
      <c r="L35" s="52">
        <v>1400</v>
      </c>
      <c r="M35" s="50" t="s">
        <v>245</v>
      </c>
      <c r="N35" s="50" t="s">
        <v>247</v>
      </c>
      <c r="O35" s="52" t="s">
        <v>245</v>
      </c>
      <c r="P35" s="51" t="s">
        <v>340</v>
      </c>
      <c r="Q35" s="51" t="s">
        <v>402</v>
      </c>
      <c r="R35" s="51" t="s">
        <v>403</v>
      </c>
      <c r="S35" s="52" t="s">
        <v>245</v>
      </c>
    </row>
    <row r="36" spans="1:19" ht="21.75" customHeight="1" x14ac:dyDescent="0.3">
      <c r="A36" s="53">
        <v>32</v>
      </c>
      <c r="B36" s="54" t="s">
        <v>399</v>
      </c>
      <c r="C36" s="55" t="s">
        <v>404</v>
      </c>
      <c r="D36" s="55" t="s">
        <v>405</v>
      </c>
      <c r="E36" s="55" t="s">
        <v>243</v>
      </c>
      <c r="F36" s="56" t="s">
        <v>260</v>
      </c>
      <c r="G36" s="56" t="s">
        <v>246</v>
      </c>
      <c r="H36" s="56" t="s">
        <v>245</v>
      </c>
      <c r="I36" s="56" t="s">
        <v>246</v>
      </c>
      <c r="J36" s="56" t="s">
        <v>245</v>
      </c>
      <c r="K36" s="56">
        <v>12</v>
      </c>
      <c r="L36" s="56">
        <v>600</v>
      </c>
      <c r="M36" s="54" t="s">
        <v>245</v>
      </c>
      <c r="N36" s="54" t="s">
        <v>247</v>
      </c>
      <c r="O36" s="56" t="s">
        <v>245</v>
      </c>
      <c r="P36" s="55" t="s">
        <v>406</v>
      </c>
      <c r="Q36" s="55" t="s">
        <v>407</v>
      </c>
      <c r="R36" s="55" t="s">
        <v>408</v>
      </c>
      <c r="S36" s="56" t="s">
        <v>245</v>
      </c>
    </row>
    <row r="37" spans="1:19" ht="21.75" customHeight="1" x14ac:dyDescent="0.3">
      <c r="A37" s="49">
        <v>33</v>
      </c>
      <c r="B37" s="50" t="s">
        <v>399</v>
      </c>
      <c r="C37" s="51" t="s">
        <v>409</v>
      </c>
      <c r="D37" s="51" t="s">
        <v>410</v>
      </c>
      <c r="E37" s="51" t="s">
        <v>243</v>
      </c>
      <c r="F37" s="52" t="s">
        <v>284</v>
      </c>
      <c r="G37" s="52" t="s">
        <v>246</v>
      </c>
      <c r="H37" s="52" t="s">
        <v>245</v>
      </c>
      <c r="I37" s="52" t="s">
        <v>245</v>
      </c>
      <c r="J37" s="52" t="s">
        <v>245</v>
      </c>
      <c r="K37" s="52">
        <v>16</v>
      </c>
      <c r="L37" s="52">
        <v>800</v>
      </c>
      <c r="M37" s="50" t="s">
        <v>245</v>
      </c>
      <c r="N37" s="50" t="s">
        <v>267</v>
      </c>
      <c r="O37" s="52" t="s">
        <v>246</v>
      </c>
      <c r="P37" s="51" t="s">
        <v>335</v>
      </c>
      <c r="Q37" s="51" t="s">
        <v>411</v>
      </c>
      <c r="R37" s="51" t="s">
        <v>412</v>
      </c>
      <c r="S37" s="52" t="s">
        <v>245</v>
      </c>
    </row>
    <row r="38" spans="1:19" ht="21.75" customHeight="1" x14ac:dyDescent="0.3">
      <c r="A38" s="53">
        <v>34</v>
      </c>
      <c r="B38" s="54" t="s">
        <v>399</v>
      </c>
      <c r="C38" s="55" t="s">
        <v>413</v>
      </c>
      <c r="D38" s="55" t="s">
        <v>414</v>
      </c>
      <c r="E38" s="55" t="s">
        <v>243</v>
      </c>
      <c r="F38" s="56" t="s">
        <v>260</v>
      </c>
      <c r="G38" s="56" t="s">
        <v>246</v>
      </c>
      <c r="H38" s="56" t="s">
        <v>245</v>
      </c>
      <c r="I38" s="56" t="s">
        <v>246</v>
      </c>
      <c r="J38" s="56" t="s">
        <v>300</v>
      </c>
      <c r="K38" s="56">
        <v>10</v>
      </c>
      <c r="L38" s="56">
        <v>500</v>
      </c>
      <c r="M38" s="54" t="s">
        <v>245</v>
      </c>
      <c r="N38" s="54" t="s">
        <v>247</v>
      </c>
      <c r="O38" s="56" t="s">
        <v>245</v>
      </c>
      <c r="P38" s="55" t="s">
        <v>308</v>
      </c>
      <c r="Q38" s="55" t="s">
        <v>415</v>
      </c>
      <c r="R38" s="55" t="s">
        <v>416</v>
      </c>
      <c r="S38" s="56" t="s">
        <v>245</v>
      </c>
    </row>
    <row r="39" spans="1:19" ht="21.75" customHeight="1" x14ac:dyDescent="0.3">
      <c r="A39" s="49">
        <v>35</v>
      </c>
      <c r="B39" s="50" t="s">
        <v>417</v>
      </c>
      <c r="C39" s="51" t="s">
        <v>418</v>
      </c>
      <c r="D39" s="51" t="s">
        <v>419</v>
      </c>
      <c r="E39" s="51" t="s">
        <v>420</v>
      </c>
      <c r="F39" s="52" t="s">
        <v>244</v>
      </c>
      <c r="G39" s="52" t="s">
        <v>245</v>
      </c>
      <c r="H39" s="52" t="s">
        <v>245</v>
      </c>
      <c r="I39" s="52" t="s">
        <v>245</v>
      </c>
      <c r="J39" s="52" t="s">
        <v>245</v>
      </c>
      <c r="K39" s="52">
        <v>85</v>
      </c>
      <c r="L39" s="52">
        <v>4250</v>
      </c>
      <c r="M39" s="50" t="s">
        <v>245</v>
      </c>
      <c r="N39" s="50" t="s">
        <v>254</v>
      </c>
      <c r="O39" s="52" t="s">
        <v>245</v>
      </c>
      <c r="P39" s="51" t="s">
        <v>421</v>
      </c>
      <c r="Q39" s="51" t="s">
        <v>422</v>
      </c>
      <c r="R39" s="51" t="s">
        <v>423</v>
      </c>
      <c r="S39" s="52" t="s">
        <v>246</v>
      </c>
    </row>
    <row r="40" spans="1:19" ht="21.75" customHeight="1" x14ac:dyDescent="0.3">
      <c r="A40" s="53">
        <v>36</v>
      </c>
      <c r="B40" s="54" t="s">
        <v>424</v>
      </c>
      <c r="C40" s="55" t="s">
        <v>425</v>
      </c>
      <c r="D40" s="55" t="s">
        <v>419</v>
      </c>
      <c r="E40" s="55" t="s">
        <v>420</v>
      </c>
      <c r="F40" s="56" t="s">
        <v>244</v>
      </c>
      <c r="G40" s="56" t="s">
        <v>245</v>
      </c>
      <c r="H40" s="56" t="s">
        <v>245</v>
      </c>
      <c r="I40" s="56" t="s">
        <v>245</v>
      </c>
      <c r="J40" s="56" t="s">
        <v>245</v>
      </c>
      <c r="K40" s="56">
        <v>92</v>
      </c>
      <c r="L40" s="56">
        <v>4600</v>
      </c>
      <c r="M40" s="54" t="s">
        <v>245</v>
      </c>
      <c r="N40" s="54" t="s">
        <v>254</v>
      </c>
      <c r="O40" s="56" t="s">
        <v>245</v>
      </c>
      <c r="P40" s="55" t="s">
        <v>421</v>
      </c>
      <c r="Q40" s="55" t="s">
        <v>426</v>
      </c>
      <c r="R40" s="55" t="s">
        <v>427</v>
      </c>
      <c r="S40" s="56" t="s">
        <v>246</v>
      </c>
    </row>
    <row r="41" spans="1:19" ht="21.75" customHeight="1" x14ac:dyDescent="0.3">
      <c r="A41" s="49">
        <v>37</v>
      </c>
      <c r="B41" s="50" t="s">
        <v>399</v>
      </c>
      <c r="C41" s="51" t="s">
        <v>428</v>
      </c>
      <c r="D41" s="51" t="s">
        <v>429</v>
      </c>
      <c r="E41" s="51" t="s">
        <v>243</v>
      </c>
      <c r="F41" s="52" t="s">
        <v>284</v>
      </c>
      <c r="G41" s="52" t="s">
        <v>245</v>
      </c>
      <c r="H41" s="52" t="s">
        <v>245</v>
      </c>
      <c r="I41" s="52" t="s">
        <v>245</v>
      </c>
      <c r="J41" s="52" t="s">
        <v>246</v>
      </c>
      <c r="K41" s="52">
        <v>20</v>
      </c>
      <c r="L41" s="52">
        <v>1000</v>
      </c>
      <c r="M41" s="50" t="s">
        <v>245</v>
      </c>
      <c r="N41" s="50" t="s">
        <v>247</v>
      </c>
      <c r="O41" s="52" t="s">
        <v>245</v>
      </c>
      <c r="P41" s="51" t="s">
        <v>382</v>
      </c>
      <c r="Q41" s="51" t="s">
        <v>430</v>
      </c>
      <c r="R41" s="51" t="s">
        <v>431</v>
      </c>
      <c r="S41" s="52" t="s">
        <v>246</v>
      </c>
    </row>
    <row r="42" spans="1:19" ht="21.75" customHeight="1" x14ac:dyDescent="0.3">
      <c r="A42" s="53">
        <v>38</v>
      </c>
      <c r="B42" s="54" t="s">
        <v>399</v>
      </c>
      <c r="C42" s="55" t="s">
        <v>432</v>
      </c>
      <c r="D42" s="55" t="s">
        <v>433</v>
      </c>
      <c r="E42" s="55" t="s">
        <v>243</v>
      </c>
      <c r="F42" s="56" t="s">
        <v>284</v>
      </c>
      <c r="G42" s="56" t="s">
        <v>245</v>
      </c>
      <c r="H42" s="56" t="s">
        <v>245</v>
      </c>
      <c r="I42" s="56" t="s">
        <v>246</v>
      </c>
      <c r="J42" s="56" t="s">
        <v>246</v>
      </c>
      <c r="K42" s="56">
        <v>14</v>
      </c>
      <c r="L42" s="56">
        <v>700</v>
      </c>
      <c r="M42" s="54" t="s">
        <v>246</v>
      </c>
      <c r="N42" s="54" t="s">
        <v>274</v>
      </c>
      <c r="O42" s="56" t="s">
        <v>245</v>
      </c>
      <c r="P42" s="55" t="s">
        <v>290</v>
      </c>
      <c r="Q42" s="55" t="s">
        <v>434</v>
      </c>
      <c r="R42" s="55" t="s">
        <v>435</v>
      </c>
      <c r="S42" s="56" t="s">
        <v>246</v>
      </c>
    </row>
    <row r="43" spans="1:19" ht="21.75" customHeight="1" x14ac:dyDescent="0.3">
      <c r="A43" s="49">
        <v>39</v>
      </c>
      <c r="B43" s="50" t="s">
        <v>399</v>
      </c>
      <c r="C43" s="51" t="s">
        <v>436</v>
      </c>
      <c r="D43" s="51" t="s">
        <v>437</v>
      </c>
      <c r="E43" s="51" t="s">
        <v>243</v>
      </c>
      <c r="F43" s="52" t="s">
        <v>284</v>
      </c>
      <c r="G43" s="52" t="s">
        <v>246</v>
      </c>
      <c r="H43" s="52" t="s">
        <v>245</v>
      </c>
      <c r="I43" s="52" t="s">
        <v>246</v>
      </c>
      <c r="J43" s="52" t="s">
        <v>246</v>
      </c>
      <c r="K43" s="52">
        <v>8</v>
      </c>
      <c r="L43" s="52">
        <v>400</v>
      </c>
      <c r="M43" s="50" t="s">
        <v>246</v>
      </c>
      <c r="N43" s="50" t="s">
        <v>274</v>
      </c>
      <c r="O43" s="52" t="s">
        <v>246</v>
      </c>
      <c r="P43" s="51" t="s">
        <v>438</v>
      </c>
      <c r="Q43" s="51" t="s">
        <v>439</v>
      </c>
      <c r="R43" s="51" t="s">
        <v>440</v>
      </c>
      <c r="S43" s="52" t="s">
        <v>246</v>
      </c>
    </row>
    <row r="44" spans="1:19" ht="21.75" customHeight="1" x14ac:dyDescent="0.3">
      <c r="A44" s="53">
        <v>40</v>
      </c>
      <c r="B44" s="54" t="s">
        <v>399</v>
      </c>
      <c r="C44" s="55" t="s">
        <v>441</v>
      </c>
      <c r="D44" s="55" t="s">
        <v>330</v>
      </c>
      <c r="E44" s="55" t="s">
        <v>243</v>
      </c>
      <c r="F44" s="56" t="s">
        <v>266</v>
      </c>
      <c r="G44" s="56" t="s">
        <v>246</v>
      </c>
      <c r="H44" s="56" t="s">
        <v>245</v>
      </c>
      <c r="I44" s="56" t="s">
        <v>245</v>
      </c>
      <c r="J44" s="56" t="s">
        <v>246</v>
      </c>
      <c r="K44" s="56">
        <v>11</v>
      </c>
      <c r="L44" s="56">
        <v>550</v>
      </c>
      <c r="M44" s="54" t="s">
        <v>245</v>
      </c>
      <c r="N44" s="54" t="s">
        <v>267</v>
      </c>
      <c r="O44" s="56" t="s">
        <v>246</v>
      </c>
      <c r="P44" s="55" t="s">
        <v>268</v>
      </c>
      <c r="Q44" s="55" t="s">
        <v>442</v>
      </c>
      <c r="R44" s="55" t="s">
        <v>443</v>
      </c>
      <c r="S44" s="56" t="s">
        <v>245</v>
      </c>
    </row>
    <row r="45" spans="1:19" ht="21.75" customHeight="1" x14ac:dyDescent="0.3">
      <c r="A45" s="49">
        <v>41</v>
      </c>
      <c r="B45" s="50" t="s">
        <v>444</v>
      </c>
      <c r="C45" s="51" t="s">
        <v>445</v>
      </c>
      <c r="D45" s="51" t="s">
        <v>446</v>
      </c>
      <c r="E45" s="51" t="s">
        <v>243</v>
      </c>
      <c r="F45" s="52" t="s">
        <v>284</v>
      </c>
      <c r="G45" s="52" t="s">
        <v>245</v>
      </c>
      <c r="H45" s="52" t="s">
        <v>245</v>
      </c>
      <c r="I45" s="52" t="s">
        <v>245</v>
      </c>
      <c r="J45" s="52" t="s">
        <v>245</v>
      </c>
      <c r="K45" s="52">
        <v>22</v>
      </c>
      <c r="L45" s="52">
        <v>1100</v>
      </c>
      <c r="M45" s="50" t="s">
        <v>245</v>
      </c>
      <c r="N45" s="50" t="s">
        <v>247</v>
      </c>
      <c r="O45" s="52" t="s">
        <v>245</v>
      </c>
      <c r="P45" s="51" t="s">
        <v>447</v>
      </c>
      <c r="Q45" s="51" t="s">
        <v>448</v>
      </c>
      <c r="R45" s="51" t="s">
        <v>449</v>
      </c>
      <c r="S45" s="52" t="s">
        <v>245</v>
      </c>
    </row>
    <row r="46" spans="1:19" ht="21.75" customHeight="1" x14ac:dyDescent="0.3">
      <c r="A46" s="53">
        <v>42</v>
      </c>
      <c r="B46" s="54" t="s">
        <v>444</v>
      </c>
      <c r="C46" s="55" t="s">
        <v>450</v>
      </c>
      <c r="D46" s="55" t="s">
        <v>451</v>
      </c>
      <c r="E46" s="55" t="s">
        <v>243</v>
      </c>
      <c r="F46" s="56" t="s">
        <v>284</v>
      </c>
      <c r="G46" s="56" t="s">
        <v>245</v>
      </c>
      <c r="H46" s="56" t="s">
        <v>245</v>
      </c>
      <c r="I46" s="56" t="s">
        <v>245</v>
      </c>
      <c r="J46" s="56" t="s">
        <v>246</v>
      </c>
      <c r="K46" s="56">
        <v>18</v>
      </c>
      <c r="L46" s="56">
        <v>900</v>
      </c>
      <c r="M46" s="54" t="s">
        <v>245</v>
      </c>
      <c r="N46" s="54" t="s">
        <v>247</v>
      </c>
      <c r="O46" s="56" t="s">
        <v>245</v>
      </c>
      <c r="P46" s="55" t="s">
        <v>317</v>
      </c>
      <c r="Q46" s="55" t="s">
        <v>452</v>
      </c>
      <c r="R46" s="55" t="s">
        <v>453</v>
      </c>
      <c r="S46" s="56" t="s">
        <v>246</v>
      </c>
    </row>
    <row r="47" spans="1:19" ht="21.75" customHeight="1" x14ac:dyDescent="0.3">
      <c r="A47" s="49">
        <v>43</v>
      </c>
      <c r="B47" s="50" t="s">
        <v>444</v>
      </c>
      <c r="C47" s="51" t="s">
        <v>454</v>
      </c>
      <c r="D47" s="51" t="s">
        <v>455</v>
      </c>
      <c r="E47" s="51" t="s">
        <v>243</v>
      </c>
      <c r="F47" s="52" t="s">
        <v>284</v>
      </c>
      <c r="G47" s="52" t="s">
        <v>245</v>
      </c>
      <c r="H47" s="52" t="s">
        <v>245</v>
      </c>
      <c r="I47" s="52" t="s">
        <v>246</v>
      </c>
      <c r="J47" s="52" t="s">
        <v>300</v>
      </c>
      <c r="K47" s="52">
        <v>15</v>
      </c>
      <c r="L47" s="52">
        <v>750</v>
      </c>
      <c r="M47" s="50" t="s">
        <v>246</v>
      </c>
      <c r="N47" s="50" t="s">
        <v>274</v>
      </c>
      <c r="O47" s="52" t="s">
        <v>245</v>
      </c>
      <c r="P47" s="51" t="s">
        <v>308</v>
      </c>
      <c r="Q47" s="51" t="s">
        <v>456</v>
      </c>
      <c r="R47" s="51" t="s">
        <v>457</v>
      </c>
      <c r="S47" s="52" t="s">
        <v>245</v>
      </c>
    </row>
    <row r="48" spans="1:19" ht="21.75" customHeight="1" x14ac:dyDescent="0.3">
      <c r="A48" s="53">
        <v>44</v>
      </c>
      <c r="B48" s="54" t="s">
        <v>444</v>
      </c>
      <c r="C48" s="55" t="s">
        <v>458</v>
      </c>
      <c r="D48" s="55" t="s">
        <v>459</v>
      </c>
      <c r="E48" s="55" t="s">
        <v>243</v>
      </c>
      <c r="F48" s="56" t="s">
        <v>260</v>
      </c>
      <c r="G48" s="56" t="s">
        <v>246</v>
      </c>
      <c r="H48" s="56" t="s">
        <v>245</v>
      </c>
      <c r="I48" s="56" t="s">
        <v>246</v>
      </c>
      <c r="J48" s="56" t="s">
        <v>245</v>
      </c>
      <c r="K48" s="56">
        <v>12</v>
      </c>
      <c r="L48" s="56">
        <v>600</v>
      </c>
      <c r="M48" s="54" t="s">
        <v>245</v>
      </c>
      <c r="N48" s="54" t="s">
        <v>247</v>
      </c>
      <c r="O48" s="56" t="s">
        <v>245</v>
      </c>
      <c r="P48" s="55" t="s">
        <v>406</v>
      </c>
      <c r="Q48" s="55" t="s">
        <v>460</v>
      </c>
      <c r="R48" s="55" t="s">
        <v>461</v>
      </c>
      <c r="S48" s="56" t="s">
        <v>246</v>
      </c>
    </row>
    <row r="49" spans="1:19" ht="21.75" customHeight="1" x14ac:dyDescent="0.3">
      <c r="A49" s="49">
        <v>45</v>
      </c>
      <c r="B49" s="50" t="s">
        <v>444</v>
      </c>
      <c r="C49" s="51" t="s">
        <v>462</v>
      </c>
      <c r="D49" s="51" t="s">
        <v>463</v>
      </c>
      <c r="E49" s="51" t="s">
        <v>243</v>
      </c>
      <c r="F49" s="52" t="s">
        <v>253</v>
      </c>
      <c r="G49" s="52" t="s">
        <v>245</v>
      </c>
      <c r="H49" s="52" t="s">
        <v>245</v>
      </c>
      <c r="I49" s="52" t="s">
        <v>245</v>
      </c>
      <c r="J49" s="52" t="s">
        <v>245</v>
      </c>
      <c r="K49" s="52">
        <v>26</v>
      </c>
      <c r="L49" s="52">
        <v>1300</v>
      </c>
      <c r="M49" s="50" t="s">
        <v>245</v>
      </c>
      <c r="N49" s="50" t="s">
        <v>254</v>
      </c>
      <c r="O49" s="52" t="s">
        <v>245</v>
      </c>
      <c r="P49" s="51" t="s">
        <v>377</v>
      </c>
      <c r="Q49" s="51" t="s">
        <v>464</v>
      </c>
      <c r="R49" s="51" t="s">
        <v>465</v>
      </c>
      <c r="S49" s="52" t="s">
        <v>245</v>
      </c>
    </row>
    <row r="50" spans="1:19" ht="21.75" customHeight="1" x14ac:dyDescent="0.3">
      <c r="A50" s="53">
        <v>46</v>
      </c>
      <c r="B50" s="54" t="s">
        <v>444</v>
      </c>
      <c r="C50" s="55" t="s">
        <v>466</v>
      </c>
      <c r="D50" s="55" t="s">
        <v>467</v>
      </c>
      <c r="E50" s="55" t="s">
        <v>243</v>
      </c>
      <c r="F50" s="56" t="s">
        <v>253</v>
      </c>
      <c r="G50" s="56" t="s">
        <v>245</v>
      </c>
      <c r="H50" s="56" t="s">
        <v>245</v>
      </c>
      <c r="I50" s="56" t="s">
        <v>245</v>
      </c>
      <c r="J50" s="56" t="s">
        <v>246</v>
      </c>
      <c r="K50" s="56">
        <v>24</v>
      </c>
      <c r="L50" s="56">
        <v>1200</v>
      </c>
      <c r="M50" s="54" t="s">
        <v>245</v>
      </c>
      <c r="N50" s="54" t="s">
        <v>247</v>
      </c>
      <c r="O50" s="56" t="s">
        <v>245</v>
      </c>
      <c r="P50" s="55" t="s">
        <v>468</v>
      </c>
      <c r="Q50" s="55" t="s">
        <v>469</v>
      </c>
      <c r="R50" s="55" t="s">
        <v>470</v>
      </c>
      <c r="S50" s="56" t="s">
        <v>245</v>
      </c>
    </row>
    <row r="51" spans="1:19" ht="21.75" customHeight="1" x14ac:dyDescent="0.3">
      <c r="A51" s="49">
        <v>47</v>
      </c>
      <c r="B51" s="50" t="s">
        <v>444</v>
      </c>
      <c r="C51" s="51" t="s">
        <v>471</v>
      </c>
      <c r="D51" s="51" t="s">
        <v>472</v>
      </c>
      <c r="E51" s="51" t="s">
        <v>243</v>
      </c>
      <c r="F51" s="52" t="s">
        <v>284</v>
      </c>
      <c r="G51" s="52" t="s">
        <v>245</v>
      </c>
      <c r="H51" s="52" t="s">
        <v>245</v>
      </c>
      <c r="I51" s="52" t="s">
        <v>246</v>
      </c>
      <c r="J51" s="52" t="s">
        <v>246</v>
      </c>
      <c r="K51" s="52">
        <v>16</v>
      </c>
      <c r="L51" s="52">
        <v>800</v>
      </c>
      <c r="M51" s="50" t="s">
        <v>246</v>
      </c>
      <c r="N51" s="50" t="s">
        <v>274</v>
      </c>
      <c r="O51" s="52" t="s">
        <v>245</v>
      </c>
      <c r="P51" s="51" t="s">
        <v>290</v>
      </c>
      <c r="Q51" s="51" t="s">
        <v>473</v>
      </c>
      <c r="R51" s="51" t="s">
        <v>474</v>
      </c>
      <c r="S51" s="52" t="s">
        <v>245</v>
      </c>
    </row>
    <row r="52" spans="1:19" ht="21.75" customHeight="1" x14ac:dyDescent="0.3">
      <c r="A52" s="53">
        <v>48</v>
      </c>
      <c r="B52" s="54" t="s">
        <v>444</v>
      </c>
      <c r="C52" s="55" t="s">
        <v>475</v>
      </c>
      <c r="D52" s="55" t="s">
        <v>476</v>
      </c>
      <c r="E52" s="55" t="s">
        <v>243</v>
      </c>
      <c r="F52" s="56" t="s">
        <v>260</v>
      </c>
      <c r="G52" s="56" t="s">
        <v>246</v>
      </c>
      <c r="H52" s="56" t="s">
        <v>245</v>
      </c>
      <c r="I52" s="56" t="s">
        <v>246</v>
      </c>
      <c r="J52" s="56" t="s">
        <v>245</v>
      </c>
      <c r="K52" s="56">
        <v>10</v>
      </c>
      <c r="L52" s="56">
        <v>500</v>
      </c>
      <c r="M52" s="54" t="s">
        <v>245</v>
      </c>
      <c r="N52" s="54" t="s">
        <v>247</v>
      </c>
      <c r="O52" s="56" t="s">
        <v>245</v>
      </c>
      <c r="P52" s="55" t="s">
        <v>308</v>
      </c>
      <c r="Q52" s="55" t="s">
        <v>477</v>
      </c>
      <c r="R52" s="55" t="s">
        <v>478</v>
      </c>
      <c r="S52" s="56" t="s">
        <v>245</v>
      </c>
    </row>
    <row r="53" spans="1:19" ht="21.75" customHeight="1" x14ac:dyDescent="0.3">
      <c r="A53" s="49">
        <v>49</v>
      </c>
      <c r="B53" s="50" t="s">
        <v>479</v>
      </c>
      <c r="C53" s="51" t="s">
        <v>480</v>
      </c>
      <c r="D53" s="51" t="s">
        <v>481</v>
      </c>
      <c r="E53" s="51" t="s">
        <v>243</v>
      </c>
      <c r="F53" s="52" t="s">
        <v>253</v>
      </c>
      <c r="G53" s="52" t="s">
        <v>245</v>
      </c>
      <c r="H53" s="52" t="s">
        <v>245</v>
      </c>
      <c r="I53" s="52" t="s">
        <v>245</v>
      </c>
      <c r="J53" s="52" t="s">
        <v>245</v>
      </c>
      <c r="K53" s="52">
        <v>28</v>
      </c>
      <c r="L53" s="52">
        <v>1400</v>
      </c>
      <c r="M53" s="50" t="s">
        <v>245</v>
      </c>
      <c r="N53" s="50" t="s">
        <v>254</v>
      </c>
      <c r="O53" s="52" t="s">
        <v>245</v>
      </c>
      <c r="P53" s="51" t="s">
        <v>482</v>
      </c>
      <c r="Q53" s="51" t="s">
        <v>483</v>
      </c>
      <c r="R53" s="51" t="s">
        <v>484</v>
      </c>
      <c r="S53" s="52" t="s">
        <v>246</v>
      </c>
    </row>
    <row r="54" spans="1:19" ht="21.75" customHeight="1" x14ac:dyDescent="0.3">
      <c r="A54" s="53">
        <v>50</v>
      </c>
      <c r="B54" s="54" t="s">
        <v>479</v>
      </c>
      <c r="C54" s="55" t="s">
        <v>485</v>
      </c>
      <c r="D54" s="55" t="s">
        <v>486</v>
      </c>
      <c r="E54" s="55" t="s">
        <v>243</v>
      </c>
      <c r="F54" s="56" t="s">
        <v>260</v>
      </c>
      <c r="G54" s="56" t="s">
        <v>246</v>
      </c>
      <c r="H54" s="56" t="s">
        <v>245</v>
      </c>
      <c r="I54" s="56" t="s">
        <v>246</v>
      </c>
      <c r="J54" s="56" t="s">
        <v>245</v>
      </c>
      <c r="K54" s="56">
        <v>14</v>
      </c>
      <c r="L54" s="56">
        <v>700</v>
      </c>
      <c r="M54" s="54" t="s">
        <v>245</v>
      </c>
      <c r="N54" s="54" t="s">
        <v>247</v>
      </c>
      <c r="O54" s="56" t="s">
        <v>245</v>
      </c>
      <c r="P54" s="55" t="s">
        <v>261</v>
      </c>
      <c r="Q54" s="55" t="s">
        <v>487</v>
      </c>
      <c r="R54" s="55" t="s">
        <v>488</v>
      </c>
      <c r="S54" s="56" t="s">
        <v>246</v>
      </c>
    </row>
    <row r="55" spans="1:19" ht="21.75" customHeight="1" x14ac:dyDescent="0.3">
      <c r="A55" s="49">
        <v>51</v>
      </c>
      <c r="B55" s="50" t="s">
        <v>479</v>
      </c>
      <c r="C55" s="51" t="s">
        <v>489</v>
      </c>
      <c r="D55" s="51" t="s">
        <v>490</v>
      </c>
      <c r="E55" s="51" t="s">
        <v>243</v>
      </c>
      <c r="F55" s="52" t="s">
        <v>253</v>
      </c>
      <c r="G55" s="52" t="s">
        <v>245</v>
      </c>
      <c r="H55" s="52" t="s">
        <v>245</v>
      </c>
      <c r="I55" s="52" t="s">
        <v>245</v>
      </c>
      <c r="J55" s="52" t="s">
        <v>245</v>
      </c>
      <c r="K55" s="52">
        <v>30</v>
      </c>
      <c r="L55" s="52">
        <v>1500</v>
      </c>
      <c r="M55" s="50" t="s">
        <v>245</v>
      </c>
      <c r="N55" s="50" t="s">
        <v>247</v>
      </c>
      <c r="O55" s="52" t="s">
        <v>245</v>
      </c>
      <c r="P55" s="51" t="s">
        <v>491</v>
      </c>
      <c r="Q55" s="51" t="s">
        <v>492</v>
      </c>
      <c r="R55" s="51" t="s">
        <v>493</v>
      </c>
      <c r="S55" s="52" t="s">
        <v>245</v>
      </c>
    </row>
    <row r="56" spans="1:19" ht="21.75" customHeight="1" x14ac:dyDescent="0.3">
      <c r="A56" s="53">
        <v>52</v>
      </c>
      <c r="B56" s="54" t="s">
        <v>479</v>
      </c>
      <c r="C56" s="55" t="s">
        <v>494</v>
      </c>
      <c r="D56" s="55" t="s">
        <v>495</v>
      </c>
      <c r="E56" s="55" t="s">
        <v>243</v>
      </c>
      <c r="F56" s="56" t="s">
        <v>284</v>
      </c>
      <c r="G56" s="56" t="s">
        <v>246</v>
      </c>
      <c r="H56" s="56" t="s">
        <v>246</v>
      </c>
      <c r="I56" s="56" t="s">
        <v>245</v>
      </c>
      <c r="J56" s="56" t="s">
        <v>246</v>
      </c>
      <c r="K56" s="56">
        <v>6</v>
      </c>
      <c r="L56" s="56">
        <v>300</v>
      </c>
      <c r="M56" s="54" t="s">
        <v>246</v>
      </c>
      <c r="N56" s="54" t="s">
        <v>274</v>
      </c>
      <c r="O56" s="56" t="s">
        <v>246</v>
      </c>
      <c r="P56" s="55" t="s">
        <v>268</v>
      </c>
      <c r="Q56" s="55" t="s">
        <v>496</v>
      </c>
      <c r="R56" s="55" t="s">
        <v>497</v>
      </c>
      <c r="S56" s="56" t="s">
        <v>245</v>
      </c>
    </row>
    <row r="57" spans="1:19" ht="21.75" customHeight="1" x14ac:dyDescent="0.3">
      <c r="A57" s="49">
        <v>53</v>
      </c>
      <c r="B57" s="50" t="s">
        <v>479</v>
      </c>
      <c r="C57" s="51" t="s">
        <v>498</v>
      </c>
      <c r="D57" s="51" t="s">
        <v>499</v>
      </c>
      <c r="E57" s="51" t="s">
        <v>307</v>
      </c>
      <c r="F57" s="52" t="s">
        <v>260</v>
      </c>
      <c r="G57" s="52" t="s">
        <v>246</v>
      </c>
      <c r="H57" s="52" t="s">
        <v>245</v>
      </c>
      <c r="I57" s="52" t="s">
        <v>246</v>
      </c>
      <c r="J57" s="52" t="s">
        <v>245</v>
      </c>
      <c r="K57" s="52">
        <v>12</v>
      </c>
      <c r="L57" s="52">
        <v>600</v>
      </c>
      <c r="M57" s="50" t="s">
        <v>245</v>
      </c>
      <c r="N57" s="50" t="s">
        <v>247</v>
      </c>
      <c r="O57" s="52" t="s">
        <v>245</v>
      </c>
      <c r="P57" s="51" t="s">
        <v>308</v>
      </c>
      <c r="Q57" s="51" t="s">
        <v>500</v>
      </c>
      <c r="R57" s="51" t="s">
        <v>501</v>
      </c>
      <c r="S57" s="52" t="s">
        <v>245</v>
      </c>
    </row>
    <row r="58" spans="1:19" ht="21.75" customHeight="1" x14ac:dyDescent="0.3">
      <c r="A58" s="53">
        <v>54</v>
      </c>
      <c r="B58" s="54" t="s">
        <v>479</v>
      </c>
      <c r="C58" s="55" t="s">
        <v>502</v>
      </c>
      <c r="D58" s="55" t="s">
        <v>503</v>
      </c>
      <c r="E58" s="55" t="s">
        <v>307</v>
      </c>
      <c r="F58" s="56" t="s">
        <v>266</v>
      </c>
      <c r="G58" s="56" t="s">
        <v>246</v>
      </c>
      <c r="H58" s="56" t="s">
        <v>245</v>
      </c>
      <c r="I58" s="56" t="s">
        <v>245</v>
      </c>
      <c r="J58" s="56" t="s">
        <v>246</v>
      </c>
      <c r="K58" s="56">
        <v>10</v>
      </c>
      <c r="L58" s="56">
        <v>500</v>
      </c>
      <c r="M58" s="54" t="s">
        <v>245</v>
      </c>
      <c r="N58" s="54" t="s">
        <v>267</v>
      </c>
      <c r="O58" s="56" t="s">
        <v>246</v>
      </c>
      <c r="P58" s="55" t="s">
        <v>268</v>
      </c>
      <c r="Q58" s="55" t="s">
        <v>504</v>
      </c>
      <c r="R58" s="55" t="s">
        <v>505</v>
      </c>
      <c r="S58" s="56" t="s">
        <v>245</v>
      </c>
    </row>
    <row r="59" spans="1:19" ht="21.75" customHeight="1" x14ac:dyDescent="0.3">
      <c r="A59" s="49">
        <v>55</v>
      </c>
      <c r="B59" s="50" t="s">
        <v>479</v>
      </c>
      <c r="C59" s="51" t="s">
        <v>506</v>
      </c>
      <c r="D59" s="51" t="s">
        <v>507</v>
      </c>
      <c r="E59" s="51" t="s">
        <v>307</v>
      </c>
      <c r="F59" s="52" t="s">
        <v>260</v>
      </c>
      <c r="G59" s="52" t="s">
        <v>246</v>
      </c>
      <c r="H59" s="52" t="s">
        <v>245</v>
      </c>
      <c r="I59" s="52" t="s">
        <v>246</v>
      </c>
      <c r="J59" s="52" t="s">
        <v>245</v>
      </c>
      <c r="K59" s="52">
        <v>11</v>
      </c>
      <c r="L59" s="52">
        <v>550</v>
      </c>
      <c r="M59" s="50" t="s">
        <v>245</v>
      </c>
      <c r="N59" s="50" t="s">
        <v>247</v>
      </c>
      <c r="O59" s="52" t="s">
        <v>245</v>
      </c>
      <c r="P59" s="51" t="s">
        <v>261</v>
      </c>
      <c r="Q59" s="51" t="s">
        <v>508</v>
      </c>
      <c r="R59" s="51" t="s">
        <v>509</v>
      </c>
      <c r="S59" s="52" t="s">
        <v>245</v>
      </c>
    </row>
    <row r="60" spans="1:19" ht="21.75" customHeight="1" x14ac:dyDescent="0.3">
      <c r="A60" s="53">
        <v>56</v>
      </c>
      <c r="B60" s="54" t="s">
        <v>479</v>
      </c>
      <c r="C60" s="55" t="s">
        <v>510</v>
      </c>
      <c r="D60" s="55" t="s">
        <v>511</v>
      </c>
      <c r="E60" s="55" t="s">
        <v>307</v>
      </c>
      <c r="F60" s="56" t="s">
        <v>253</v>
      </c>
      <c r="G60" s="56" t="s">
        <v>245</v>
      </c>
      <c r="H60" s="56" t="s">
        <v>245</v>
      </c>
      <c r="I60" s="56" t="s">
        <v>245</v>
      </c>
      <c r="J60" s="56" t="s">
        <v>245</v>
      </c>
      <c r="K60" s="56">
        <v>24</v>
      </c>
      <c r="L60" s="56">
        <v>1200</v>
      </c>
      <c r="M60" s="54" t="s">
        <v>245</v>
      </c>
      <c r="N60" s="54" t="s">
        <v>254</v>
      </c>
      <c r="O60" s="56" t="s">
        <v>245</v>
      </c>
      <c r="P60" s="55" t="s">
        <v>491</v>
      </c>
      <c r="Q60" s="55" t="s">
        <v>512</v>
      </c>
      <c r="R60" s="55" t="s">
        <v>513</v>
      </c>
      <c r="S60" s="56" t="s">
        <v>245</v>
      </c>
    </row>
    <row r="61" spans="1:19" ht="21.75" customHeight="1" x14ac:dyDescent="0.3">
      <c r="A61" s="49">
        <v>57</v>
      </c>
      <c r="B61" s="50" t="s">
        <v>479</v>
      </c>
      <c r="C61" s="51" t="s">
        <v>514</v>
      </c>
      <c r="D61" s="51" t="s">
        <v>515</v>
      </c>
      <c r="E61" s="51" t="s">
        <v>307</v>
      </c>
      <c r="F61" s="52" t="s">
        <v>266</v>
      </c>
      <c r="G61" s="52" t="s">
        <v>246</v>
      </c>
      <c r="H61" s="52" t="s">
        <v>245</v>
      </c>
      <c r="I61" s="52" t="s">
        <v>245</v>
      </c>
      <c r="J61" s="52" t="s">
        <v>246</v>
      </c>
      <c r="K61" s="52">
        <v>9</v>
      </c>
      <c r="L61" s="52">
        <v>450</v>
      </c>
      <c r="M61" s="50" t="s">
        <v>245</v>
      </c>
      <c r="N61" s="50" t="s">
        <v>267</v>
      </c>
      <c r="O61" s="52" t="s">
        <v>246</v>
      </c>
      <c r="P61" s="51" t="s">
        <v>248</v>
      </c>
      <c r="Q61" s="51" t="s">
        <v>516</v>
      </c>
      <c r="R61" s="51" t="s">
        <v>517</v>
      </c>
      <c r="S61" s="52" t="s">
        <v>245</v>
      </c>
    </row>
    <row r="62" spans="1:19" ht="21.75" customHeight="1" x14ac:dyDescent="0.3">
      <c r="A62" s="53">
        <v>58</v>
      </c>
      <c r="B62" s="54" t="s">
        <v>479</v>
      </c>
      <c r="C62" s="55" t="s">
        <v>518</v>
      </c>
      <c r="D62" s="55" t="s">
        <v>519</v>
      </c>
      <c r="E62" s="55" t="s">
        <v>307</v>
      </c>
      <c r="F62" s="56" t="s">
        <v>253</v>
      </c>
      <c r="G62" s="56" t="s">
        <v>245</v>
      </c>
      <c r="H62" s="56" t="s">
        <v>245</v>
      </c>
      <c r="I62" s="56" t="s">
        <v>245</v>
      </c>
      <c r="J62" s="56" t="s">
        <v>245</v>
      </c>
      <c r="K62" s="56">
        <v>26</v>
      </c>
      <c r="L62" s="56">
        <v>1300</v>
      </c>
      <c r="M62" s="54" t="s">
        <v>245</v>
      </c>
      <c r="N62" s="54" t="s">
        <v>247</v>
      </c>
      <c r="O62" s="56" t="s">
        <v>245</v>
      </c>
      <c r="P62" s="55" t="s">
        <v>396</v>
      </c>
      <c r="Q62" s="55" t="s">
        <v>520</v>
      </c>
      <c r="R62" s="55" t="s">
        <v>521</v>
      </c>
      <c r="S62" s="56" t="s">
        <v>245</v>
      </c>
    </row>
    <row r="63" spans="1:19" ht="21.75" customHeight="1" x14ac:dyDescent="0.3">
      <c r="A63" s="49">
        <v>59</v>
      </c>
      <c r="B63" s="50" t="s">
        <v>522</v>
      </c>
      <c r="C63" s="51" t="s">
        <v>523</v>
      </c>
      <c r="D63" s="51" t="s">
        <v>524</v>
      </c>
      <c r="E63" s="51" t="s">
        <v>307</v>
      </c>
      <c r="F63" s="52" t="s">
        <v>253</v>
      </c>
      <c r="G63" s="52" t="s">
        <v>245</v>
      </c>
      <c r="H63" s="52" t="s">
        <v>245</v>
      </c>
      <c r="I63" s="52" t="s">
        <v>245</v>
      </c>
      <c r="J63" s="52" t="s">
        <v>245</v>
      </c>
      <c r="K63" s="52">
        <v>32</v>
      </c>
      <c r="L63" s="52">
        <v>1600</v>
      </c>
      <c r="M63" s="50" t="s">
        <v>245</v>
      </c>
      <c r="N63" s="50" t="s">
        <v>254</v>
      </c>
      <c r="O63" s="52" t="s">
        <v>245</v>
      </c>
      <c r="P63" s="51" t="s">
        <v>377</v>
      </c>
      <c r="Q63" s="51" t="s">
        <v>525</v>
      </c>
      <c r="R63" s="51" t="s">
        <v>526</v>
      </c>
      <c r="S63" s="52" t="s">
        <v>246</v>
      </c>
    </row>
    <row r="64" spans="1:19" ht="21.75" customHeight="1" x14ac:dyDescent="0.3">
      <c r="A64" s="53">
        <v>60</v>
      </c>
      <c r="B64" s="54" t="s">
        <v>522</v>
      </c>
      <c r="C64" s="55" t="s">
        <v>527</v>
      </c>
      <c r="D64" s="55" t="s">
        <v>528</v>
      </c>
      <c r="E64" s="55" t="s">
        <v>307</v>
      </c>
      <c r="F64" s="56" t="s">
        <v>284</v>
      </c>
      <c r="G64" s="56" t="s">
        <v>245</v>
      </c>
      <c r="H64" s="56" t="s">
        <v>245</v>
      </c>
      <c r="I64" s="56" t="s">
        <v>246</v>
      </c>
      <c r="J64" s="56" t="s">
        <v>246</v>
      </c>
      <c r="K64" s="56">
        <v>15</v>
      </c>
      <c r="L64" s="56">
        <v>750</v>
      </c>
      <c r="M64" s="54" t="s">
        <v>246</v>
      </c>
      <c r="N64" s="54" t="s">
        <v>274</v>
      </c>
      <c r="O64" s="56" t="s">
        <v>245</v>
      </c>
      <c r="P64" s="55" t="s">
        <v>290</v>
      </c>
      <c r="Q64" s="55" t="s">
        <v>529</v>
      </c>
      <c r="R64" s="55" t="s">
        <v>530</v>
      </c>
      <c r="S64" s="56" t="s">
        <v>246</v>
      </c>
    </row>
    <row r="65" spans="1:19" ht="21.75" customHeight="1" x14ac:dyDescent="0.3">
      <c r="A65" s="49">
        <v>61</v>
      </c>
      <c r="B65" s="50" t="s">
        <v>522</v>
      </c>
      <c r="C65" s="51" t="s">
        <v>531</v>
      </c>
      <c r="D65" s="51" t="s">
        <v>532</v>
      </c>
      <c r="E65" s="51" t="s">
        <v>307</v>
      </c>
      <c r="F65" s="52" t="s">
        <v>253</v>
      </c>
      <c r="G65" s="52" t="s">
        <v>245</v>
      </c>
      <c r="H65" s="52" t="s">
        <v>245</v>
      </c>
      <c r="I65" s="52" t="s">
        <v>245</v>
      </c>
      <c r="J65" s="52" t="s">
        <v>246</v>
      </c>
      <c r="K65" s="52">
        <v>20</v>
      </c>
      <c r="L65" s="52">
        <v>1000</v>
      </c>
      <c r="M65" s="50" t="s">
        <v>245</v>
      </c>
      <c r="N65" s="50" t="s">
        <v>247</v>
      </c>
      <c r="O65" s="52" t="s">
        <v>245</v>
      </c>
      <c r="P65" s="51" t="s">
        <v>317</v>
      </c>
      <c r="Q65" s="51" t="s">
        <v>533</v>
      </c>
      <c r="R65" s="51" t="s">
        <v>534</v>
      </c>
      <c r="S65" s="52" t="s">
        <v>245</v>
      </c>
    </row>
    <row r="66" spans="1:19" ht="21.75" customHeight="1" x14ac:dyDescent="0.3">
      <c r="A66" s="53">
        <v>62</v>
      </c>
      <c r="B66" s="54" t="s">
        <v>522</v>
      </c>
      <c r="C66" s="55" t="s">
        <v>535</v>
      </c>
      <c r="D66" s="55" t="s">
        <v>330</v>
      </c>
      <c r="E66" s="55" t="s">
        <v>307</v>
      </c>
      <c r="F66" s="56" t="s">
        <v>253</v>
      </c>
      <c r="G66" s="56" t="s">
        <v>245</v>
      </c>
      <c r="H66" s="56" t="s">
        <v>245</v>
      </c>
      <c r="I66" s="56" t="s">
        <v>245</v>
      </c>
      <c r="J66" s="56" t="s">
        <v>245</v>
      </c>
      <c r="K66" s="56">
        <v>22</v>
      </c>
      <c r="L66" s="56">
        <v>1100</v>
      </c>
      <c r="M66" s="54" t="s">
        <v>245</v>
      </c>
      <c r="N66" s="54" t="s">
        <v>247</v>
      </c>
      <c r="O66" s="56" t="s">
        <v>245</v>
      </c>
      <c r="P66" s="55" t="s">
        <v>340</v>
      </c>
      <c r="Q66" s="55" t="s">
        <v>536</v>
      </c>
      <c r="R66" s="55" t="s">
        <v>537</v>
      </c>
      <c r="S66" s="56" t="s">
        <v>246</v>
      </c>
    </row>
    <row r="67" spans="1:19" ht="21.75" customHeight="1" x14ac:dyDescent="0.3">
      <c r="A67" s="49">
        <v>63</v>
      </c>
      <c r="B67" s="50" t="s">
        <v>522</v>
      </c>
      <c r="C67" s="51" t="s">
        <v>538</v>
      </c>
      <c r="D67" s="51" t="s">
        <v>539</v>
      </c>
      <c r="E67" s="51" t="s">
        <v>307</v>
      </c>
      <c r="F67" s="52" t="s">
        <v>273</v>
      </c>
      <c r="G67" s="52" t="s">
        <v>246</v>
      </c>
      <c r="H67" s="52" t="s">
        <v>246</v>
      </c>
      <c r="I67" s="52" t="s">
        <v>245</v>
      </c>
      <c r="J67" s="52" t="s">
        <v>246</v>
      </c>
      <c r="K67" s="52">
        <v>5</v>
      </c>
      <c r="L67" s="52">
        <v>250</v>
      </c>
      <c r="M67" s="50" t="s">
        <v>246</v>
      </c>
      <c r="N67" s="50" t="s">
        <v>274</v>
      </c>
      <c r="O67" s="52" t="s">
        <v>246</v>
      </c>
      <c r="P67" s="51" t="s">
        <v>248</v>
      </c>
      <c r="Q67" s="51" t="s">
        <v>540</v>
      </c>
      <c r="R67" s="51" t="s">
        <v>541</v>
      </c>
      <c r="S67" s="52" t="s">
        <v>246</v>
      </c>
    </row>
    <row r="68" spans="1:19" ht="21.75" customHeight="1" x14ac:dyDescent="0.3">
      <c r="A68" s="53">
        <v>64</v>
      </c>
      <c r="B68" s="54" t="s">
        <v>522</v>
      </c>
      <c r="C68" s="55" t="s">
        <v>542</v>
      </c>
      <c r="D68" s="55" t="s">
        <v>543</v>
      </c>
      <c r="E68" s="55" t="s">
        <v>307</v>
      </c>
      <c r="F68" s="56" t="s">
        <v>273</v>
      </c>
      <c r="G68" s="56" t="s">
        <v>246</v>
      </c>
      <c r="H68" s="56" t="s">
        <v>246</v>
      </c>
      <c r="I68" s="56" t="s">
        <v>245</v>
      </c>
      <c r="J68" s="56" t="s">
        <v>246</v>
      </c>
      <c r="K68" s="56">
        <v>4</v>
      </c>
      <c r="L68" s="56">
        <v>200</v>
      </c>
      <c r="M68" s="54" t="s">
        <v>246</v>
      </c>
      <c r="N68" s="54" t="s">
        <v>274</v>
      </c>
      <c r="O68" s="56" t="s">
        <v>246</v>
      </c>
      <c r="P68" s="55" t="s">
        <v>248</v>
      </c>
      <c r="Q68" s="55" t="s">
        <v>544</v>
      </c>
      <c r="R68" s="55" t="s">
        <v>545</v>
      </c>
      <c r="S68" s="56" t="s">
        <v>246</v>
      </c>
    </row>
    <row r="69" spans="1:19" ht="21.75" customHeight="1" x14ac:dyDescent="0.3">
      <c r="A69" s="49">
        <v>65</v>
      </c>
      <c r="B69" s="50" t="s">
        <v>522</v>
      </c>
      <c r="C69" s="51" t="s">
        <v>546</v>
      </c>
      <c r="D69" s="51" t="s">
        <v>372</v>
      </c>
      <c r="E69" s="51" t="s">
        <v>307</v>
      </c>
      <c r="F69" s="52" t="s">
        <v>273</v>
      </c>
      <c r="G69" s="52" t="s">
        <v>246</v>
      </c>
      <c r="H69" s="52" t="s">
        <v>246</v>
      </c>
      <c r="I69" s="52" t="s">
        <v>245</v>
      </c>
      <c r="J69" s="52" t="s">
        <v>246</v>
      </c>
      <c r="K69" s="52">
        <v>5</v>
      </c>
      <c r="L69" s="52">
        <v>250</v>
      </c>
      <c r="M69" s="50" t="s">
        <v>246</v>
      </c>
      <c r="N69" s="50" t="s">
        <v>274</v>
      </c>
      <c r="O69" s="52" t="s">
        <v>246</v>
      </c>
      <c r="P69" s="51" t="s">
        <v>248</v>
      </c>
      <c r="Q69" s="51" t="s">
        <v>547</v>
      </c>
      <c r="R69" s="51" t="s">
        <v>548</v>
      </c>
      <c r="S69" s="52" t="s">
        <v>246</v>
      </c>
    </row>
    <row r="70" spans="1:19" ht="21.75" customHeight="1" x14ac:dyDescent="0.3">
      <c r="A70" s="53">
        <v>66</v>
      </c>
      <c r="B70" s="54" t="s">
        <v>522</v>
      </c>
      <c r="C70" s="55" t="s">
        <v>549</v>
      </c>
      <c r="D70" s="55" t="s">
        <v>463</v>
      </c>
      <c r="E70" s="55" t="s">
        <v>307</v>
      </c>
      <c r="F70" s="56" t="s">
        <v>273</v>
      </c>
      <c r="G70" s="56" t="s">
        <v>246</v>
      </c>
      <c r="H70" s="56" t="s">
        <v>246</v>
      </c>
      <c r="I70" s="56" t="s">
        <v>245</v>
      </c>
      <c r="J70" s="56" t="s">
        <v>246</v>
      </c>
      <c r="K70" s="56">
        <v>6</v>
      </c>
      <c r="L70" s="56">
        <v>300</v>
      </c>
      <c r="M70" s="54" t="s">
        <v>246</v>
      </c>
      <c r="N70" s="54" t="s">
        <v>274</v>
      </c>
      <c r="O70" s="56" t="s">
        <v>246</v>
      </c>
      <c r="P70" s="55" t="s">
        <v>268</v>
      </c>
      <c r="Q70" s="55" t="s">
        <v>550</v>
      </c>
      <c r="R70" s="55" t="s">
        <v>551</v>
      </c>
      <c r="S70" s="56" t="s">
        <v>245</v>
      </c>
    </row>
    <row r="71" spans="1:19" ht="21.75" customHeight="1" x14ac:dyDescent="0.3">
      <c r="A71" s="49">
        <v>67</v>
      </c>
      <c r="B71" s="50" t="s">
        <v>522</v>
      </c>
      <c r="C71" s="51" t="s">
        <v>552</v>
      </c>
      <c r="D71" s="51" t="s">
        <v>519</v>
      </c>
      <c r="E71" s="51" t="s">
        <v>307</v>
      </c>
      <c r="F71" s="52" t="s">
        <v>253</v>
      </c>
      <c r="G71" s="52" t="s">
        <v>245</v>
      </c>
      <c r="H71" s="52" t="s">
        <v>245</v>
      </c>
      <c r="I71" s="52" t="s">
        <v>245</v>
      </c>
      <c r="J71" s="52" t="s">
        <v>245</v>
      </c>
      <c r="K71" s="52">
        <v>25</v>
      </c>
      <c r="L71" s="52">
        <v>1250</v>
      </c>
      <c r="M71" s="50" t="s">
        <v>245</v>
      </c>
      <c r="N71" s="50" t="s">
        <v>247</v>
      </c>
      <c r="O71" s="52" t="s">
        <v>245</v>
      </c>
      <c r="P71" s="51" t="s">
        <v>491</v>
      </c>
      <c r="Q71" s="51" t="s">
        <v>553</v>
      </c>
      <c r="R71" s="51" t="s">
        <v>554</v>
      </c>
      <c r="S71" s="52" t="s">
        <v>246</v>
      </c>
    </row>
    <row r="72" spans="1:19" ht="21.75" customHeight="1" x14ac:dyDescent="0.3">
      <c r="A72" s="53">
        <v>68</v>
      </c>
      <c r="B72" s="54" t="s">
        <v>522</v>
      </c>
      <c r="C72" s="55" t="s">
        <v>555</v>
      </c>
      <c r="D72" s="55" t="s">
        <v>556</v>
      </c>
      <c r="E72" s="55" t="s">
        <v>307</v>
      </c>
      <c r="F72" s="56" t="s">
        <v>284</v>
      </c>
      <c r="G72" s="56" t="s">
        <v>245</v>
      </c>
      <c r="H72" s="56" t="s">
        <v>245</v>
      </c>
      <c r="I72" s="56" t="s">
        <v>245</v>
      </c>
      <c r="J72" s="56" t="s">
        <v>246</v>
      </c>
      <c r="K72" s="56">
        <v>18</v>
      </c>
      <c r="L72" s="56">
        <v>900</v>
      </c>
      <c r="M72" s="54" t="s">
        <v>245</v>
      </c>
      <c r="N72" s="54" t="s">
        <v>247</v>
      </c>
      <c r="O72" s="56" t="s">
        <v>245</v>
      </c>
      <c r="P72" s="55" t="s">
        <v>382</v>
      </c>
      <c r="Q72" s="55" t="s">
        <v>557</v>
      </c>
      <c r="R72" s="55" t="s">
        <v>558</v>
      </c>
      <c r="S72" s="56" t="s">
        <v>245</v>
      </c>
    </row>
    <row r="73" spans="1:19" ht="21.75" customHeight="1" x14ac:dyDescent="0.3">
      <c r="A73" s="49">
        <v>69</v>
      </c>
      <c r="B73" s="50" t="s">
        <v>559</v>
      </c>
      <c r="C73" s="51" t="s">
        <v>560</v>
      </c>
      <c r="D73" s="51" t="s">
        <v>560</v>
      </c>
      <c r="E73" s="51" t="s">
        <v>307</v>
      </c>
      <c r="F73" s="52" t="s">
        <v>253</v>
      </c>
      <c r="G73" s="52" t="s">
        <v>245</v>
      </c>
      <c r="H73" s="52" t="s">
        <v>245</v>
      </c>
      <c r="I73" s="52" t="s">
        <v>245</v>
      </c>
      <c r="J73" s="52" t="s">
        <v>245</v>
      </c>
      <c r="K73" s="52">
        <v>28</v>
      </c>
      <c r="L73" s="52">
        <v>1400</v>
      </c>
      <c r="M73" s="50" t="s">
        <v>245</v>
      </c>
      <c r="N73" s="50" t="s">
        <v>254</v>
      </c>
      <c r="O73" s="52" t="s">
        <v>245</v>
      </c>
      <c r="P73" s="51" t="s">
        <v>377</v>
      </c>
      <c r="Q73" s="51" t="s">
        <v>561</v>
      </c>
      <c r="R73" s="51" t="s">
        <v>562</v>
      </c>
      <c r="S73" s="52" t="s">
        <v>246</v>
      </c>
    </row>
    <row r="74" spans="1:19" ht="21.75" customHeight="1" x14ac:dyDescent="0.3">
      <c r="A74" s="53">
        <v>70</v>
      </c>
      <c r="B74" s="54" t="s">
        <v>559</v>
      </c>
      <c r="C74" s="55" t="s">
        <v>563</v>
      </c>
      <c r="D74" s="55" t="s">
        <v>330</v>
      </c>
      <c r="E74" s="55" t="s">
        <v>307</v>
      </c>
      <c r="F74" s="56" t="s">
        <v>284</v>
      </c>
      <c r="G74" s="56" t="s">
        <v>245</v>
      </c>
      <c r="H74" s="56" t="s">
        <v>245</v>
      </c>
      <c r="I74" s="56" t="s">
        <v>246</v>
      </c>
      <c r="J74" s="56" t="s">
        <v>246</v>
      </c>
      <c r="K74" s="56">
        <v>14</v>
      </c>
      <c r="L74" s="56">
        <v>700</v>
      </c>
      <c r="M74" s="54" t="s">
        <v>246</v>
      </c>
      <c r="N74" s="54" t="s">
        <v>274</v>
      </c>
      <c r="O74" s="56" t="s">
        <v>245</v>
      </c>
      <c r="P74" s="55" t="s">
        <v>290</v>
      </c>
      <c r="Q74" s="55" t="s">
        <v>564</v>
      </c>
      <c r="R74" s="55" t="s">
        <v>565</v>
      </c>
      <c r="S74" s="56" t="s">
        <v>246</v>
      </c>
    </row>
    <row r="75" spans="1:19" ht="21.75" customHeight="1" x14ac:dyDescent="0.3">
      <c r="A75" s="49">
        <v>71</v>
      </c>
      <c r="B75" s="50" t="s">
        <v>559</v>
      </c>
      <c r="C75" s="51" t="s">
        <v>566</v>
      </c>
      <c r="D75" s="51" t="s">
        <v>414</v>
      </c>
      <c r="E75" s="51" t="s">
        <v>307</v>
      </c>
      <c r="F75" s="52" t="s">
        <v>284</v>
      </c>
      <c r="G75" s="52" t="s">
        <v>245</v>
      </c>
      <c r="H75" s="52" t="s">
        <v>245</v>
      </c>
      <c r="I75" s="52" t="s">
        <v>245</v>
      </c>
      <c r="J75" s="52" t="s">
        <v>246</v>
      </c>
      <c r="K75" s="52">
        <v>16</v>
      </c>
      <c r="L75" s="52">
        <v>800</v>
      </c>
      <c r="M75" s="50" t="s">
        <v>245</v>
      </c>
      <c r="N75" s="50" t="s">
        <v>247</v>
      </c>
      <c r="O75" s="52" t="s">
        <v>245</v>
      </c>
      <c r="P75" s="51" t="s">
        <v>317</v>
      </c>
      <c r="Q75" s="51" t="s">
        <v>567</v>
      </c>
      <c r="R75" s="51" t="s">
        <v>568</v>
      </c>
      <c r="S75" s="52" t="s">
        <v>245</v>
      </c>
    </row>
    <row r="76" spans="1:19" ht="21.75" customHeight="1" x14ac:dyDescent="0.3">
      <c r="A76" s="53">
        <v>72</v>
      </c>
      <c r="B76" s="54" t="s">
        <v>559</v>
      </c>
      <c r="C76" s="55" t="s">
        <v>466</v>
      </c>
      <c r="D76" s="55" t="s">
        <v>467</v>
      </c>
      <c r="E76" s="55" t="s">
        <v>307</v>
      </c>
      <c r="F76" s="56" t="s">
        <v>284</v>
      </c>
      <c r="G76" s="56" t="s">
        <v>245</v>
      </c>
      <c r="H76" s="56" t="s">
        <v>245</v>
      </c>
      <c r="I76" s="56" t="s">
        <v>245</v>
      </c>
      <c r="J76" s="56" t="s">
        <v>245</v>
      </c>
      <c r="K76" s="56">
        <v>20</v>
      </c>
      <c r="L76" s="56">
        <v>1000</v>
      </c>
      <c r="M76" s="54" t="s">
        <v>245</v>
      </c>
      <c r="N76" s="54" t="s">
        <v>247</v>
      </c>
      <c r="O76" s="56" t="s">
        <v>245</v>
      </c>
      <c r="P76" s="55" t="s">
        <v>569</v>
      </c>
      <c r="Q76" s="55" t="s">
        <v>570</v>
      </c>
      <c r="R76" s="55" t="s">
        <v>571</v>
      </c>
      <c r="S76" s="56" t="s">
        <v>246</v>
      </c>
    </row>
    <row r="77" spans="1:19" ht="21.75" customHeight="1" x14ac:dyDescent="0.3">
      <c r="A77" s="49">
        <v>73</v>
      </c>
      <c r="B77" s="50" t="s">
        <v>559</v>
      </c>
      <c r="C77" s="51" t="s">
        <v>572</v>
      </c>
      <c r="D77" s="51" t="s">
        <v>573</v>
      </c>
      <c r="E77" s="51" t="s">
        <v>307</v>
      </c>
      <c r="F77" s="52" t="s">
        <v>253</v>
      </c>
      <c r="G77" s="52" t="s">
        <v>245</v>
      </c>
      <c r="H77" s="52" t="s">
        <v>245</v>
      </c>
      <c r="I77" s="52" t="s">
        <v>245</v>
      </c>
      <c r="J77" s="52" t="s">
        <v>245</v>
      </c>
      <c r="K77" s="52">
        <v>24</v>
      </c>
      <c r="L77" s="52">
        <v>1200</v>
      </c>
      <c r="M77" s="50" t="s">
        <v>245</v>
      </c>
      <c r="N77" s="50" t="s">
        <v>247</v>
      </c>
      <c r="O77" s="52" t="s">
        <v>245</v>
      </c>
      <c r="P77" s="51" t="s">
        <v>377</v>
      </c>
      <c r="Q77" s="51" t="s">
        <v>574</v>
      </c>
      <c r="R77" s="51" t="s">
        <v>575</v>
      </c>
      <c r="S77" s="52" t="s">
        <v>245</v>
      </c>
    </row>
    <row r="78" spans="1:19" ht="21.75" customHeight="1" x14ac:dyDescent="0.3">
      <c r="A78" s="53">
        <v>74</v>
      </c>
      <c r="B78" s="54" t="s">
        <v>559</v>
      </c>
      <c r="C78" s="55" t="s">
        <v>576</v>
      </c>
      <c r="D78" s="55" t="s">
        <v>577</v>
      </c>
      <c r="E78" s="55" t="s">
        <v>307</v>
      </c>
      <c r="F78" s="56" t="s">
        <v>284</v>
      </c>
      <c r="G78" s="56" t="s">
        <v>245</v>
      </c>
      <c r="H78" s="56" t="s">
        <v>245</v>
      </c>
      <c r="I78" s="56" t="s">
        <v>246</v>
      </c>
      <c r="J78" s="56" t="s">
        <v>246</v>
      </c>
      <c r="K78" s="56">
        <v>15</v>
      </c>
      <c r="L78" s="56">
        <v>750</v>
      </c>
      <c r="M78" s="54" t="s">
        <v>246</v>
      </c>
      <c r="N78" s="54" t="s">
        <v>274</v>
      </c>
      <c r="O78" s="56" t="s">
        <v>245</v>
      </c>
      <c r="P78" s="55" t="s">
        <v>290</v>
      </c>
      <c r="Q78" s="55" t="s">
        <v>578</v>
      </c>
      <c r="R78" s="55" t="s">
        <v>579</v>
      </c>
      <c r="S78" s="56" t="s">
        <v>246</v>
      </c>
    </row>
    <row r="79" spans="1:19" ht="21.75" customHeight="1" x14ac:dyDescent="0.3">
      <c r="A79" s="49">
        <v>75</v>
      </c>
      <c r="B79" s="50" t="s">
        <v>580</v>
      </c>
      <c r="C79" s="51" t="s">
        <v>581</v>
      </c>
      <c r="D79" s="51" t="s">
        <v>582</v>
      </c>
      <c r="E79" s="51" t="s">
        <v>307</v>
      </c>
      <c r="F79" s="52" t="s">
        <v>284</v>
      </c>
      <c r="G79" s="52" t="s">
        <v>245</v>
      </c>
      <c r="H79" s="52" t="s">
        <v>245</v>
      </c>
      <c r="I79" s="52" t="s">
        <v>245</v>
      </c>
      <c r="J79" s="52" t="s">
        <v>246</v>
      </c>
      <c r="K79" s="52">
        <v>18</v>
      </c>
      <c r="L79" s="52">
        <v>900</v>
      </c>
      <c r="M79" s="50" t="s">
        <v>245</v>
      </c>
      <c r="N79" s="50" t="s">
        <v>247</v>
      </c>
      <c r="O79" s="52" t="s">
        <v>245</v>
      </c>
      <c r="P79" s="51" t="s">
        <v>382</v>
      </c>
      <c r="Q79" s="51" t="s">
        <v>583</v>
      </c>
      <c r="R79" s="51" t="s">
        <v>584</v>
      </c>
      <c r="S79" s="52" t="s">
        <v>245</v>
      </c>
    </row>
    <row r="80" spans="1:19" ht="21.75" customHeight="1" x14ac:dyDescent="0.3">
      <c r="A80" s="53">
        <v>76</v>
      </c>
      <c r="B80" s="54" t="s">
        <v>580</v>
      </c>
      <c r="C80" s="55" t="s">
        <v>585</v>
      </c>
      <c r="D80" s="55" t="s">
        <v>586</v>
      </c>
      <c r="E80" s="55" t="s">
        <v>307</v>
      </c>
      <c r="F80" s="56" t="s">
        <v>284</v>
      </c>
      <c r="G80" s="56" t="s">
        <v>246</v>
      </c>
      <c r="H80" s="56" t="s">
        <v>245</v>
      </c>
      <c r="I80" s="56" t="s">
        <v>245</v>
      </c>
      <c r="J80" s="56" t="s">
        <v>245</v>
      </c>
      <c r="K80" s="56">
        <v>16</v>
      </c>
      <c r="L80" s="56">
        <v>800</v>
      </c>
      <c r="M80" s="54" t="s">
        <v>245</v>
      </c>
      <c r="N80" s="54" t="s">
        <v>267</v>
      </c>
      <c r="O80" s="56" t="s">
        <v>246</v>
      </c>
      <c r="P80" s="55" t="s">
        <v>312</v>
      </c>
      <c r="Q80" s="55" t="s">
        <v>587</v>
      </c>
      <c r="R80" s="55" t="s">
        <v>588</v>
      </c>
      <c r="S80" s="56" t="s">
        <v>245</v>
      </c>
    </row>
    <row r="81" spans="1:19" ht="21.75" customHeight="1" x14ac:dyDescent="0.3">
      <c r="A81" s="49">
        <v>77</v>
      </c>
      <c r="B81" s="50" t="s">
        <v>580</v>
      </c>
      <c r="C81" s="51" t="s">
        <v>589</v>
      </c>
      <c r="D81" s="51" t="s">
        <v>590</v>
      </c>
      <c r="E81" s="51" t="s">
        <v>307</v>
      </c>
      <c r="F81" s="52" t="s">
        <v>284</v>
      </c>
      <c r="G81" s="52" t="s">
        <v>245</v>
      </c>
      <c r="H81" s="52" t="s">
        <v>245</v>
      </c>
      <c r="I81" s="52" t="s">
        <v>245</v>
      </c>
      <c r="J81" s="52" t="s">
        <v>245</v>
      </c>
      <c r="K81" s="52">
        <v>22</v>
      </c>
      <c r="L81" s="52">
        <v>1100</v>
      </c>
      <c r="M81" s="50" t="s">
        <v>245</v>
      </c>
      <c r="N81" s="50" t="s">
        <v>247</v>
      </c>
      <c r="O81" s="52" t="s">
        <v>245</v>
      </c>
      <c r="P81" s="51" t="s">
        <v>377</v>
      </c>
      <c r="Q81" s="51" t="s">
        <v>591</v>
      </c>
      <c r="R81" s="51" t="s">
        <v>592</v>
      </c>
      <c r="S81" s="52" t="s">
        <v>246</v>
      </c>
    </row>
    <row r="82" spans="1:19" ht="21.75" customHeight="1" x14ac:dyDescent="0.3">
      <c r="A82" s="53">
        <v>78</v>
      </c>
      <c r="B82" s="56" t="s">
        <v>580</v>
      </c>
      <c r="C82" s="55" t="s">
        <v>593</v>
      </c>
      <c r="D82" s="55" t="s">
        <v>594</v>
      </c>
      <c r="E82" s="55" t="s">
        <v>243</v>
      </c>
      <c r="F82" s="56" t="s">
        <v>260</v>
      </c>
      <c r="G82" s="56" t="s">
        <v>246</v>
      </c>
      <c r="H82" s="56" t="s">
        <v>245</v>
      </c>
      <c r="I82" s="56" t="s">
        <v>246</v>
      </c>
      <c r="J82" s="56" t="s">
        <v>300</v>
      </c>
      <c r="K82" s="56">
        <v>10</v>
      </c>
      <c r="L82" s="56">
        <v>500</v>
      </c>
      <c r="M82" s="56" t="s">
        <v>245</v>
      </c>
      <c r="N82" s="56" t="s">
        <v>247</v>
      </c>
      <c r="O82" s="56" t="s">
        <v>245</v>
      </c>
      <c r="P82" s="55" t="s">
        <v>308</v>
      </c>
      <c r="Q82" s="55" t="s">
        <v>595</v>
      </c>
      <c r="R82" s="55" t="s">
        <v>596</v>
      </c>
      <c r="S82" s="56" t="s">
        <v>245</v>
      </c>
    </row>
    <row r="83" spans="1:19" ht="21.75" customHeight="1" x14ac:dyDescent="0.3">
      <c r="A83" s="49">
        <v>79</v>
      </c>
      <c r="B83" s="52" t="s">
        <v>580</v>
      </c>
      <c r="C83" s="51" t="s">
        <v>241</v>
      </c>
      <c r="D83" s="51" t="s">
        <v>242</v>
      </c>
      <c r="E83" s="51" t="s">
        <v>243</v>
      </c>
      <c r="F83" s="52" t="s">
        <v>244</v>
      </c>
      <c r="G83" s="52" t="s">
        <v>246</v>
      </c>
      <c r="H83" s="52" t="s">
        <v>245</v>
      </c>
      <c r="I83" s="52" t="s">
        <v>246</v>
      </c>
      <c r="J83" s="52" t="s">
        <v>246</v>
      </c>
      <c r="K83" s="52">
        <v>20</v>
      </c>
      <c r="L83" s="52">
        <v>1000</v>
      </c>
      <c r="M83" s="52" t="s">
        <v>245</v>
      </c>
      <c r="N83" s="52" t="s">
        <v>247</v>
      </c>
      <c r="O83" s="52" t="s">
        <v>245</v>
      </c>
      <c r="P83" s="51" t="s">
        <v>248</v>
      </c>
      <c r="Q83" s="51" t="s">
        <v>597</v>
      </c>
      <c r="R83" s="51" t="s">
        <v>598</v>
      </c>
      <c r="S83" s="52" t="s">
        <v>246</v>
      </c>
    </row>
    <row r="84" spans="1:19" ht="21.75" customHeight="1" x14ac:dyDescent="0.3">
      <c r="A84" s="53">
        <v>80</v>
      </c>
      <c r="B84" s="56" t="s">
        <v>580</v>
      </c>
      <c r="C84" s="55" t="s">
        <v>251</v>
      </c>
      <c r="D84" s="55" t="s">
        <v>252</v>
      </c>
      <c r="E84" s="55" t="s">
        <v>243</v>
      </c>
      <c r="F84" s="56" t="s">
        <v>253</v>
      </c>
      <c r="G84" s="56" t="s">
        <v>245</v>
      </c>
      <c r="H84" s="56" t="s">
        <v>245</v>
      </c>
      <c r="I84" s="56" t="s">
        <v>245</v>
      </c>
      <c r="J84" s="56" t="s">
        <v>245</v>
      </c>
      <c r="K84" s="56">
        <v>35</v>
      </c>
      <c r="L84" s="56">
        <v>1750</v>
      </c>
      <c r="M84" s="56" t="s">
        <v>245</v>
      </c>
      <c r="N84" s="56" t="s">
        <v>254</v>
      </c>
      <c r="O84" s="56" t="s">
        <v>245</v>
      </c>
      <c r="P84" s="55" t="s">
        <v>255</v>
      </c>
      <c r="Q84" s="55" t="s">
        <v>599</v>
      </c>
      <c r="R84" s="55" t="s">
        <v>600</v>
      </c>
      <c r="S84" s="56" t="s">
        <v>245</v>
      </c>
    </row>
    <row r="85" spans="1:19" ht="21.75" customHeight="1" x14ac:dyDescent="0.3">
      <c r="A85" s="49">
        <v>81</v>
      </c>
      <c r="B85" s="52" t="s">
        <v>580</v>
      </c>
      <c r="C85" s="51" t="s">
        <v>258</v>
      </c>
      <c r="D85" s="51" t="s">
        <v>259</v>
      </c>
      <c r="E85" s="51" t="s">
        <v>243</v>
      </c>
      <c r="F85" s="52" t="s">
        <v>260</v>
      </c>
      <c r="G85" s="52" t="s">
        <v>246</v>
      </c>
      <c r="H85" s="52" t="s">
        <v>245</v>
      </c>
      <c r="I85" s="52" t="s">
        <v>246</v>
      </c>
      <c r="J85" s="52" t="s">
        <v>246</v>
      </c>
      <c r="K85" s="52">
        <v>15</v>
      </c>
      <c r="L85" s="52">
        <v>750</v>
      </c>
      <c r="M85" s="52" t="s">
        <v>245</v>
      </c>
      <c r="N85" s="52" t="s">
        <v>247</v>
      </c>
      <c r="O85" s="52" t="s">
        <v>245</v>
      </c>
      <c r="P85" s="51" t="s">
        <v>261</v>
      </c>
      <c r="Q85" s="51" t="s">
        <v>601</v>
      </c>
      <c r="R85" s="51" t="s">
        <v>602</v>
      </c>
      <c r="S85" s="52" t="s">
        <v>245</v>
      </c>
    </row>
    <row r="86" spans="1:19" ht="21.75" customHeight="1" x14ac:dyDescent="0.3">
      <c r="A86" s="53">
        <v>82</v>
      </c>
      <c r="B86" s="56" t="s">
        <v>580</v>
      </c>
      <c r="C86" s="55" t="s">
        <v>264</v>
      </c>
      <c r="D86" s="55" t="s">
        <v>265</v>
      </c>
      <c r="E86" s="55" t="s">
        <v>243</v>
      </c>
      <c r="F86" s="56" t="s">
        <v>266</v>
      </c>
      <c r="G86" s="56" t="s">
        <v>246</v>
      </c>
      <c r="H86" s="56" t="s">
        <v>245</v>
      </c>
      <c r="I86" s="56" t="s">
        <v>245</v>
      </c>
      <c r="J86" s="56" t="s">
        <v>246</v>
      </c>
      <c r="K86" s="56">
        <v>12</v>
      </c>
      <c r="L86" s="56">
        <v>600</v>
      </c>
      <c r="M86" s="56" t="s">
        <v>245</v>
      </c>
      <c r="N86" s="56" t="s">
        <v>267</v>
      </c>
      <c r="O86" s="56" t="s">
        <v>246</v>
      </c>
      <c r="P86" s="55" t="s">
        <v>268</v>
      </c>
      <c r="Q86" s="55" t="s">
        <v>603</v>
      </c>
      <c r="R86" s="55" t="s">
        <v>604</v>
      </c>
      <c r="S86" s="56" t="s">
        <v>245</v>
      </c>
    </row>
    <row r="87" spans="1:19" ht="21.75" customHeight="1" x14ac:dyDescent="0.3">
      <c r="A87" s="49">
        <v>83</v>
      </c>
      <c r="B87" s="52" t="s">
        <v>580</v>
      </c>
      <c r="C87" s="51" t="s">
        <v>271</v>
      </c>
      <c r="D87" s="51" t="s">
        <v>272</v>
      </c>
      <c r="E87" s="51" t="s">
        <v>243</v>
      </c>
      <c r="F87" s="52" t="s">
        <v>273</v>
      </c>
      <c r="G87" s="52" t="s">
        <v>246</v>
      </c>
      <c r="H87" s="52" t="s">
        <v>246</v>
      </c>
      <c r="I87" s="52" t="s">
        <v>245</v>
      </c>
      <c r="J87" s="52" t="s">
        <v>246</v>
      </c>
      <c r="K87" s="52">
        <v>6</v>
      </c>
      <c r="L87" s="52">
        <v>300</v>
      </c>
      <c r="M87" s="52" t="s">
        <v>246</v>
      </c>
      <c r="N87" s="52" t="s">
        <v>274</v>
      </c>
      <c r="O87" s="52" t="s">
        <v>246</v>
      </c>
      <c r="P87" s="51" t="s">
        <v>248</v>
      </c>
      <c r="Q87" s="51" t="s">
        <v>605</v>
      </c>
      <c r="R87" s="51" t="s">
        <v>606</v>
      </c>
      <c r="S87" s="52" t="s">
        <v>246</v>
      </c>
    </row>
    <row r="88" spans="1:19" ht="21.75" customHeight="1" x14ac:dyDescent="0.3">
      <c r="A88" s="53">
        <v>84</v>
      </c>
      <c r="B88" s="56" t="s">
        <v>580</v>
      </c>
      <c r="C88" s="55" t="s">
        <v>277</v>
      </c>
      <c r="D88" s="55" t="s">
        <v>278</v>
      </c>
      <c r="E88" s="55" t="s">
        <v>243</v>
      </c>
      <c r="F88" s="56" t="s">
        <v>266</v>
      </c>
      <c r="G88" s="56" t="s">
        <v>246</v>
      </c>
      <c r="H88" s="56" t="s">
        <v>245</v>
      </c>
      <c r="I88" s="56" t="s">
        <v>245</v>
      </c>
      <c r="J88" s="56" t="s">
        <v>246</v>
      </c>
      <c r="K88" s="56">
        <v>13</v>
      </c>
      <c r="L88" s="56">
        <v>650</v>
      </c>
      <c r="M88" s="56" t="s">
        <v>245</v>
      </c>
      <c r="N88" s="56" t="s">
        <v>267</v>
      </c>
      <c r="O88" s="56" t="s">
        <v>246</v>
      </c>
      <c r="P88" s="55" t="s">
        <v>279</v>
      </c>
      <c r="Q88" s="55" t="s">
        <v>607</v>
      </c>
      <c r="R88" s="55" t="s">
        <v>608</v>
      </c>
      <c r="S88" s="56" t="s">
        <v>245</v>
      </c>
    </row>
    <row r="89" spans="1:19" ht="21.75" customHeight="1" x14ac:dyDescent="0.3">
      <c r="A89" s="49">
        <v>85</v>
      </c>
      <c r="B89" s="52" t="s">
        <v>580</v>
      </c>
      <c r="C89" s="51" t="s">
        <v>282</v>
      </c>
      <c r="D89" s="51" t="s">
        <v>283</v>
      </c>
      <c r="E89" s="51" t="s">
        <v>243</v>
      </c>
      <c r="F89" s="52" t="s">
        <v>284</v>
      </c>
      <c r="G89" s="52" t="s">
        <v>245</v>
      </c>
      <c r="H89" s="52" t="s">
        <v>245</v>
      </c>
      <c r="I89" s="52" t="s">
        <v>245</v>
      </c>
      <c r="J89" s="52" t="s">
        <v>245</v>
      </c>
      <c r="K89" s="52">
        <v>30</v>
      </c>
      <c r="L89" s="52">
        <v>1500</v>
      </c>
      <c r="M89" s="52" t="s">
        <v>245</v>
      </c>
      <c r="N89" s="52" t="s">
        <v>254</v>
      </c>
      <c r="O89" s="52" t="s">
        <v>245</v>
      </c>
      <c r="P89" s="51" t="s">
        <v>285</v>
      </c>
      <c r="Q89" s="51" t="s">
        <v>609</v>
      </c>
      <c r="R89" s="51" t="s">
        <v>610</v>
      </c>
      <c r="S89" s="52" t="s">
        <v>246</v>
      </c>
    </row>
    <row r="90" spans="1:19" ht="21.75" customHeight="1" x14ac:dyDescent="0.3">
      <c r="A90" s="53">
        <v>86</v>
      </c>
      <c r="B90" s="56" t="s">
        <v>580</v>
      </c>
      <c r="C90" s="55" t="s">
        <v>288</v>
      </c>
      <c r="D90" s="55" t="s">
        <v>289</v>
      </c>
      <c r="E90" s="55" t="s">
        <v>243</v>
      </c>
      <c r="F90" s="56" t="s">
        <v>284</v>
      </c>
      <c r="G90" s="56" t="s">
        <v>245</v>
      </c>
      <c r="H90" s="56" t="s">
        <v>245</v>
      </c>
      <c r="I90" s="56" t="s">
        <v>246</v>
      </c>
      <c r="J90" s="56" t="s">
        <v>246</v>
      </c>
      <c r="K90" s="56">
        <v>18</v>
      </c>
      <c r="L90" s="56">
        <v>900</v>
      </c>
      <c r="M90" s="56" t="s">
        <v>245</v>
      </c>
      <c r="N90" s="56" t="s">
        <v>247</v>
      </c>
      <c r="O90" s="56" t="s">
        <v>245</v>
      </c>
      <c r="P90" s="55" t="s">
        <v>290</v>
      </c>
      <c r="Q90" s="55" t="s">
        <v>611</v>
      </c>
      <c r="R90" s="55" t="s">
        <v>612</v>
      </c>
      <c r="S90" s="56" t="s">
        <v>246</v>
      </c>
    </row>
    <row r="91" spans="1:19" ht="21.75" customHeight="1" x14ac:dyDescent="0.3">
      <c r="A91" s="49">
        <v>87</v>
      </c>
      <c r="B91" s="52" t="s">
        <v>580</v>
      </c>
      <c r="C91" s="51" t="s">
        <v>293</v>
      </c>
      <c r="D91" s="51" t="s">
        <v>294</v>
      </c>
      <c r="E91" s="51" t="s">
        <v>243</v>
      </c>
      <c r="F91" s="52" t="s">
        <v>266</v>
      </c>
      <c r="G91" s="52" t="s">
        <v>246</v>
      </c>
      <c r="H91" s="52" t="s">
        <v>245</v>
      </c>
      <c r="I91" s="52" t="s">
        <v>245</v>
      </c>
      <c r="J91" s="52" t="s">
        <v>246</v>
      </c>
      <c r="K91" s="52">
        <v>10</v>
      </c>
      <c r="L91" s="52">
        <v>500</v>
      </c>
      <c r="M91" s="52" t="s">
        <v>246</v>
      </c>
      <c r="N91" s="52" t="s">
        <v>274</v>
      </c>
      <c r="O91" s="52" t="s">
        <v>246</v>
      </c>
      <c r="P91" s="51" t="s">
        <v>295</v>
      </c>
      <c r="Q91" s="51" t="s">
        <v>613</v>
      </c>
      <c r="R91" s="51" t="s">
        <v>614</v>
      </c>
      <c r="S91" s="52" t="s">
        <v>245</v>
      </c>
    </row>
    <row r="92" spans="1:19" ht="21.75" customHeight="1" x14ac:dyDescent="0.3">
      <c r="A92" s="53">
        <v>88</v>
      </c>
      <c r="B92" s="56" t="s">
        <v>615</v>
      </c>
      <c r="C92" s="55" t="s">
        <v>298</v>
      </c>
      <c r="D92" s="55" t="s">
        <v>299</v>
      </c>
      <c r="E92" s="55" t="s">
        <v>243</v>
      </c>
      <c r="F92" s="56" t="s">
        <v>260</v>
      </c>
      <c r="G92" s="56" t="s">
        <v>246</v>
      </c>
      <c r="H92" s="56" t="s">
        <v>245</v>
      </c>
      <c r="I92" s="56" t="s">
        <v>246</v>
      </c>
      <c r="J92" s="56" t="s">
        <v>246</v>
      </c>
      <c r="K92" s="56">
        <v>14</v>
      </c>
      <c r="L92" s="56">
        <v>700</v>
      </c>
      <c r="M92" s="56" t="s">
        <v>245</v>
      </c>
      <c r="N92" s="56" t="s">
        <v>247</v>
      </c>
      <c r="O92" s="56" t="s">
        <v>245</v>
      </c>
      <c r="P92" s="55" t="s">
        <v>308</v>
      </c>
      <c r="Q92" s="55" t="s">
        <v>616</v>
      </c>
      <c r="R92" s="55" t="s">
        <v>617</v>
      </c>
      <c r="S92" s="56" t="s">
        <v>245</v>
      </c>
    </row>
    <row r="93" spans="1:19" ht="21.75" customHeight="1" x14ac:dyDescent="0.3">
      <c r="A93" s="49">
        <v>89</v>
      </c>
      <c r="B93" s="52" t="s">
        <v>615</v>
      </c>
      <c r="C93" s="51" t="s">
        <v>400</v>
      </c>
      <c r="D93" s="51" t="s">
        <v>401</v>
      </c>
      <c r="E93" s="51" t="s">
        <v>243</v>
      </c>
      <c r="F93" s="52" t="s">
        <v>253</v>
      </c>
      <c r="G93" s="52" t="s">
        <v>245</v>
      </c>
      <c r="H93" s="52" t="s">
        <v>245</v>
      </c>
      <c r="I93" s="52" t="s">
        <v>245</v>
      </c>
      <c r="J93" s="52" t="s">
        <v>245</v>
      </c>
      <c r="K93" s="52">
        <v>30</v>
      </c>
      <c r="L93" s="52">
        <v>1500</v>
      </c>
      <c r="M93" s="52" t="s">
        <v>245</v>
      </c>
      <c r="N93" s="52" t="s">
        <v>247</v>
      </c>
      <c r="O93" s="52" t="s">
        <v>245</v>
      </c>
      <c r="P93" s="51" t="s">
        <v>340</v>
      </c>
      <c r="Q93" s="51" t="s">
        <v>618</v>
      </c>
      <c r="R93" s="51" t="s">
        <v>619</v>
      </c>
      <c r="S93" s="52" t="s">
        <v>245</v>
      </c>
    </row>
    <row r="94" spans="1:19" ht="21.75" customHeight="1" x14ac:dyDescent="0.3">
      <c r="A94" s="53">
        <v>90</v>
      </c>
      <c r="B94" s="56" t="s">
        <v>615</v>
      </c>
      <c r="C94" s="55" t="s">
        <v>404</v>
      </c>
      <c r="D94" s="55" t="s">
        <v>405</v>
      </c>
      <c r="E94" s="55" t="s">
        <v>243</v>
      </c>
      <c r="F94" s="56" t="s">
        <v>260</v>
      </c>
      <c r="G94" s="56" t="s">
        <v>246</v>
      </c>
      <c r="H94" s="56" t="s">
        <v>245</v>
      </c>
      <c r="I94" s="56" t="s">
        <v>246</v>
      </c>
      <c r="J94" s="56" t="s">
        <v>246</v>
      </c>
      <c r="K94" s="56">
        <v>12</v>
      </c>
      <c r="L94" s="56">
        <v>600</v>
      </c>
      <c r="M94" s="56" t="s">
        <v>245</v>
      </c>
      <c r="N94" s="56" t="s">
        <v>247</v>
      </c>
      <c r="O94" s="56" t="s">
        <v>245</v>
      </c>
      <c r="P94" s="55" t="s">
        <v>406</v>
      </c>
      <c r="Q94" s="55" t="s">
        <v>620</v>
      </c>
      <c r="R94" s="55" t="s">
        <v>621</v>
      </c>
      <c r="S94" s="56" t="s">
        <v>245</v>
      </c>
    </row>
    <row r="95" spans="1:19" ht="21.75" customHeight="1" x14ac:dyDescent="0.3">
      <c r="A95" s="49">
        <v>91</v>
      </c>
      <c r="B95" s="52" t="s">
        <v>615</v>
      </c>
      <c r="C95" s="51" t="s">
        <v>409</v>
      </c>
      <c r="D95" s="51" t="s">
        <v>410</v>
      </c>
      <c r="E95" s="51" t="s">
        <v>243</v>
      </c>
      <c r="F95" s="52" t="s">
        <v>284</v>
      </c>
      <c r="G95" s="52" t="s">
        <v>246</v>
      </c>
      <c r="H95" s="52" t="s">
        <v>245</v>
      </c>
      <c r="I95" s="52" t="s">
        <v>245</v>
      </c>
      <c r="J95" s="52" t="s">
        <v>245</v>
      </c>
      <c r="K95" s="52">
        <v>18</v>
      </c>
      <c r="L95" s="52">
        <v>900</v>
      </c>
      <c r="M95" s="52" t="s">
        <v>245</v>
      </c>
      <c r="N95" s="52" t="s">
        <v>267</v>
      </c>
      <c r="O95" s="52" t="s">
        <v>246</v>
      </c>
      <c r="P95" s="51" t="s">
        <v>335</v>
      </c>
      <c r="Q95" s="51" t="s">
        <v>622</v>
      </c>
      <c r="R95" s="51" t="s">
        <v>623</v>
      </c>
      <c r="S95" s="52" t="s">
        <v>246</v>
      </c>
    </row>
    <row r="96" spans="1:19" ht="21.75" customHeight="1" x14ac:dyDescent="0.3">
      <c r="A96" s="53">
        <v>92</v>
      </c>
      <c r="B96" s="56" t="s">
        <v>615</v>
      </c>
      <c r="C96" s="55" t="s">
        <v>413</v>
      </c>
      <c r="D96" s="55" t="s">
        <v>414</v>
      </c>
      <c r="E96" s="55" t="s">
        <v>243</v>
      </c>
      <c r="F96" s="56" t="s">
        <v>260</v>
      </c>
      <c r="G96" s="56" t="s">
        <v>246</v>
      </c>
      <c r="H96" s="56" t="s">
        <v>245</v>
      </c>
      <c r="I96" s="56" t="s">
        <v>246</v>
      </c>
      <c r="J96" s="56" t="s">
        <v>300</v>
      </c>
      <c r="K96" s="56">
        <v>11</v>
      </c>
      <c r="L96" s="56">
        <v>550</v>
      </c>
      <c r="M96" s="56" t="s">
        <v>245</v>
      </c>
      <c r="N96" s="56" t="s">
        <v>247</v>
      </c>
      <c r="O96" s="56" t="s">
        <v>245</v>
      </c>
      <c r="P96" s="55" t="s">
        <v>308</v>
      </c>
      <c r="Q96" s="55" t="s">
        <v>624</v>
      </c>
      <c r="R96" s="55" t="s">
        <v>625</v>
      </c>
      <c r="S96" s="56" t="s">
        <v>245</v>
      </c>
    </row>
    <row r="97" spans="1:19" ht="21.75" customHeight="1" x14ac:dyDescent="0.3">
      <c r="A97" s="49">
        <v>93</v>
      </c>
      <c r="B97" s="52" t="s">
        <v>615</v>
      </c>
      <c r="C97" s="51" t="s">
        <v>428</v>
      </c>
      <c r="D97" s="51" t="s">
        <v>429</v>
      </c>
      <c r="E97" s="51" t="s">
        <v>243</v>
      </c>
      <c r="F97" s="52" t="s">
        <v>284</v>
      </c>
      <c r="G97" s="52" t="s">
        <v>245</v>
      </c>
      <c r="H97" s="52" t="s">
        <v>245</v>
      </c>
      <c r="I97" s="52" t="s">
        <v>245</v>
      </c>
      <c r="J97" s="52" t="s">
        <v>246</v>
      </c>
      <c r="K97" s="52">
        <v>22</v>
      </c>
      <c r="L97" s="52">
        <v>1100</v>
      </c>
      <c r="M97" s="52" t="s">
        <v>245</v>
      </c>
      <c r="N97" s="52" t="s">
        <v>247</v>
      </c>
      <c r="O97" s="52" t="s">
        <v>245</v>
      </c>
      <c r="P97" s="51" t="s">
        <v>382</v>
      </c>
      <c r="Q97" s="51" t="s">
        <v>626</v>
      </c>
      <c r="R97" s="51" t="s">
        <v>627</v>
      </c>
      <c r="S97" s="52" t="s">
        <v>246</v>
      </c>
    </row>
    <row r="98" spans="1:19" ht="21.75" customHeight="1" x14ac:dyDescent="0.3">
      <c r="A98" s="53">
        <v>94</v>
      </c>
      <c r="B98" s="56" t="s">
        <v>615</v>
      </c>
      <c r="C98" s="55" t="s">
        <v>432</v>
      </c>
      <c r="D98" s="55" t="s">
        <v>433</v>
      </c>
      <c r="E98" s="55" t="s">
        <v>243</v>
      </c>
      <c r="F98" s="56" t="s">
        <v>284</v>
      </c>
      <c r="G98" s="56" t="s">
        <v>245</v>
      </c>
      <c r="H98" s="56" t="s">
        <v>245</v>
      </c>
      <c r="I98" s="56" t="s">
        <v>246</v>
      </c>
      <c r="J98" s="56" t="s">
        <v>246</v>
      </c>
      <c r="K98" s="56">
        <v>15</v>
      </c>
      <c r="L98" s="56">
        <v>750</v>
      </c>
      <c r="M98" s="56" t="s">
        <v>246</v>
      </c>
      <c r="N98" s="56" t="s">
        <v>274</v>
      </c>
      <c r="O98" s="56" t="s">
        <v>245</v>
      </c>
      <c r="P98" s="55" t="s">
        <v>290</v>
      </c>
      <c r="Q98" s="55" t="s">
        <v>628</v>
      </c>
      <c r="R98" s="55" t="s">
        <v>629</v>
      </c>
      <c r="S98" s="56" t="s">
        <v>246</v>
      </c>
    </row>
    <row r="99" spans="1:19" ht="21.75" customHeight="1" x14ac:dyDescent="0.3">
      <c r="A99" s="49">
        <v>95</v>
      </c>
      <c r="B99" s="52" t="s">
        <v>615</v>
      </c>
      <c r="C99" s="51" t="s">
        <v>436</v>
      </c>
      <c r="D99" s="51" t="s">
        <v>437</v>
      </c>
      <c r="E99" s="51" t="s">
        <v>243</v>
      </c>
      <c r="F99" s="52" t="s">
        <v>284</v>
      </c>
      <c r="G99" s="52" t="s">
        <v>246</v>
      </c>
      <c r="H99" s="52" t="s">
        <v>245</v>
      </c>
      <c r="I99" s="52" t="s">
        <v>246</v>
      </c>
      <c r="J99" s="52" t="s">
        <v>246</v>
      </c>
      <c r="K99" s="52">
        <v>8</v>
      </c>
      <c r="L99" s="52">
        <v>400</v>
      </c>
      <c r="M99" s="52" t="s">
        <v>246</v>
      </c>
      <c r="N99" s="52" t="s">
        <v>274</v>
      </c>
      <c r="O99" s="52" t="s">
        <v>246</v>
      </c>
      <c r="P99" s="51" t="s">
        <v>438</v>
      </c>
      <c r="Q99" s="51" t="s">
        <v>630</v>
      </c>
      <c r="R99" s="51" t="s">
        <v>631</v>
      </c>
      <c r="S99" s="52" t="s">
        <v>246</v>
      </c>
    </row>
    <row r="100" spans="1:19" ht="21.75" customHeight="1" x14ac:dyDescent="0.3">
      <c r="A100" s="53">
        <v>96</v>
      </c>
      <c r="B100" s="56" t="s">
        <v>615</v>
      </c>
      <c r="C100" s="55" t="s">
        <v>441</v>
      </c>
      <c r="D100" s="55" t="s">
        <v>330</v>
      </c>
      <c r="E100" s="55" t="s">
        <v>243</v>
      </c>
      <c r="F100" s="56" t="s">
        <v>266</v>
      </c>
      <c r="G100" s="56" t="s">
        <v>246</v>
      </c>
      <c r="H100" s="56" t="s">
        <v>245</v>
      </c>
      <c r="I100" s="56" t="s">
        <v>245</v>
      </c>
      <c r="J100" s="56" t="s">
        <v>246</v>
      </c>
      <c r="K100" s="56">
        <v>12</v>
      </c>
      <c r="L100" s="56">
        <v>600</v>
      </c>
      <c r="M100" s="56" t="s">
        <v>245</v>
      </c>
      <c r="N100" s="56" t="s">
        <v>267</v>
      </c>
      <c r="O100" s="56" t="s">
        <v>246</v>
      </c>
      <c r="P100" s="55" t="s">
        <v>268</v>
      </c>
      <c r="Q100" s="55" t="s">
        <v>632</v>
      </c>
      <c r="R100" s="55" t="s">
        <v>633</v>
      </c>
      <c r="S100" s="56" t="s">
        <v>245</v>
      </c>
    </row>
    <row r="101" spans="1:19" ht="21.75" customHeight="1" x14ac:dyDescent="0.3">
      <c r="A101" s="49">
        <v>97</v>
      </c>
      <c r="B101" s="52" t="s">
        <v>615</v>
      </c>
      <c r="C101" s="51" t="s">
        <v>445</v>
      </c>
      <c r="D101" s="51" t="s">
        <v>446</v>
      </c>
      <c r="E101" s="51" t="s">
        <v>243</v>
      </c>
      <c r="F101" s="52" t="s">
        <v>284</v>
      </c>
      <c r="G101" s="52" t="s">
        <v>245</v>
      </c>
      <c r="H101" s="52" t="s">
        <v>245</v>
      </c>
      <c r="I101" s="52" t="s">
        <v>245</v>
      </c>
      <c r="J101" s="52" t="s">
        <v>300</v>
      </c>
      <c r="K101" s="52">
        <v>24</v>
      </c>
      <c r="L101" s="52">
        <v>1200</v>
      </c>
      <c r="M101" s="52" t="s">
        <v>245</v>
      </c>
      <c r="N101" s="52" t="s">
        <v>247</v>
      </c>
      <c r="O101" s="52" t="s">
        <v>245</v>
      </c>
      <c r="P101" s="51" t="s">
        <v>447</v>
      </c>
      <c r="Q101" s="51" t="s">
        <v>634</v>
      </c>
      <c r="R101" s="51" t="s">
        <v>635</v>
      </c>
      <c r="S101" s="52" t="s">
        <v>245</v>
      </c>
    </row>
    <row r="102" spans="1:19" ht="21.75" customHeight="1" x14ac:dyDescent="0.3">
      <c r="A102" s="53">
        <v>98</v>
      </c>
      <c r="B102" s="56" t="s">
        <v>636</v>
      </c>
      <c r="C102" s="55" t="s">
        <v>450</v>
      </c>
      <c r="D102" s="55" t="s">
        <v>451</v>
      </c>
      <c r="E102" s="55" t="s">
        <v>243</v>
      </c>
      <c r="F102" s="56" t="s">
        <v>284</v>
      </c>
      <c r="G102" s="56" t="s">
        <v>245</v>
      </c>
      <c r="H102" s="56" t="s">
        <v>245</v>
      </c>
      <c r="I102" s="56" t="s">
        <v>245</v>
      </c>
      <c r="J102" s="56" t="s">
        <v>246</v>
      </c>
      <c r="K102" s="56">
        <v>19</v>
      </c>
      <c r="L102" s="56">
        <v>950</v>
      </c>
      <c r="M102" s="56" t="s">
        <v>245</v>
      </c>
      <c r="N102" s="56" t="s">
        <v>247</v>
      </c>
      <c r="O102" s="56" t="s">
        <v>245</v>
      </c>
      <c r="P102" s="55" t="s">
        <v>317</v>
      </c>
      <c r="Q102" s="55" t="s">
        <v>637</v>
      </c>
      <c r="R102" s="55" t="s">
        <v>638</v>
      </c>
      <c r="S102" s="56" t="s">
        <v>246</v>
      </c>
    </row>
    <row r="103" spans="1:19" ht="21.75" customHeight="1" x14ac:dyDescent="0.3">
      <c r="A103" s="49">
        <v>99</v>
      </c>
      <c r="B103" s="52" t="s">
        <v>636</v>
      </c>
      <c r="C103" s="51" t="s">
        <v>454</v>
      </c>
      <c r="D103" s="51" t="s">
        <v>455</v>
      </c>
      <c r="E103" s="51" t="s">
        <v>243</v>
      </c>
      <c r="F103" s="52" t="s">
        <v>284</v>
      </c>
      <c r="G103" s="52" t="s">
        <v>245</v>
      </c>
      <c r="H103" s="52" t="s">
        <v>245</v>
      </c>
      <c r="I103" s="52" t="s">
        <v>246</v>
      </c>
      <c r="J103" s="52" t="s">
        <v>246</v>
      </c>
      <c r="K103" s="52">
        <v>14</v>
      </c>
      <c r="L103" s="52">
        <v>700</v>
      </c>
      <c r="M103" s="52" t="s">
        <v>246</v>
      </c>
      <c r="N103" s="52" t="s">
        <v>274</v>
      </c>
      <c r="O103" s="52" t="s">
        <v>245</v>
      </c>
      <c r="P103" s="51" t="s">
        <v>290</v>
      </c>
      <c r="Q103" s="51" t="s">
        <v>639</v>
      </c>
      <c r="R103" s="51" t="s">
        <v>640</v>
      </c>
      <c r="S103" s="52" t="s">
        <v>246</v>
      </c>
    </row>
    <row r="104" spans="1:19" ht="21.75" customHeight="1" x14ac:dyDescent="0.3">
      <c r="A104" s="53">
        <v>100</v>
      </c>
      <c r="B104" s="56" t="s">
        <v>636</v>
      </c>
      <c r="C104" s="55" t="s">
        <v>458</v>
      </c>
      <c r="D104" s="55" t="s">
        <v>459</v>
      </c>
      <c r="E104" s="55" t="s">
        <v>243</v>
      </c>
      <c r="F104" s="56" t="s">
        <v>260</v>
      </c>
      <c r="G104" s="56" t="s">
        <v>246</v>
      </c>
      <c r="H104" s="56" t="s">
        <v>245</v>
      </c>
      <c r="I104" s="56" t="s">
        <v>246</v>
      </c>
      <c r="J104" s="56" t="s">
        <v>245</v>
      </c>
      <c r="K104" s="56">
        <v>14</v>
      </c>
      <c r="L104" s="56">
        <v>700</v>
      </c>
      <c r="M104" s="56" t="s">
        <v>245</v>
      </c>
      <c r="N104" s="56" t="s">
        <v>247</v>
      </c>
      <c r="O104" s="56" t="s">
        <v>245</v>
      </c>
      <c r="P104" s="55" t="s">
        <v>406</v>
      </c>
      <c r="Q104" s="55" t="s">
        <v>641</v>
      </c>
      <c r="R104" s="55" t="s">
        <v>642</v>
      </c>
      <c r="S104" s="56" t="s">
        <v>246</v>
      </c>
    </row>
    <row r="105" spans="1:19" ht="21.75" customHeight="1" x14ac:dyDescent="0.3">
      <c r="A105" s="49">
        <v>101</v>
      </c>
      <c r="B105" s="52" t="s">
        <v>636</v>
      </c>
      <c r="C105" s="51" t="s">
        <v>462</v>
      </c>
      <c r="D105" s="51" t="s">
        <v>463</v>
      </c>
      <c r="E105" s="51" t="s">
        <v>243</v>
      </c>
      <c r="F105" s="52" t="s">
        <v>253</v>
      </c>
      <c r="G105" s="52" t="s">
        <v>245</v>
      </c>
      <c r="H105" s="52" t="s">
        <v>245</v>
      </c>
      <c r="I105" s="52" t="s">
        <v>245</v>
      </c>
      <c r="J105" s="52" t="s">
        <v>245</v>
      </c>
      <c r="K105" s="52">
        <v>28</v>
      </c>
      <c r="L105" s="52">
        <v>1400</v>
      </c>
      <c r="M105" s="52" t="s">
        <v>245</v>
      </c>
      <c r="N105" s="52" t="s">
        <v>254</v>
      </c>
      <c r="O105" s="52" t="s">
        <v>245</v>
      </c>
      <c r="P105" s="51" t="s">
        <v>377</v>
      </c>
      <c r="Q105" s="51" t="s">
        <v>643</v>
      </c>
      <c r="R105" s="51" t="s">
        <v>644</v>
      </c>
      <c r="S105" s="52" t="s">
        <v>246</v>
      </c>
    </row>
    <row r="106" spans="1:19" ht="21.75" customHeight="1" x14ac:dyDescent="0.3">
      <c r="A106" s="53">
        <v>102</v>
      </c>
      <c r="B106" s="56" t="s">
        <v>636</v>
      </c>
      <c r="C106" s="55" t="s">
        <v>466</v>
      </c>
      <c r="D106" s="55" t="s">
        <v>467</v>
      </c>
      <c r="E106" s="55" t="s">
        <v>243</v>
      </c>
      <c r="F106" s="56" t="s">
        <v>253</v>
      </c>
      <c r="G106" s="56" t="s">
        <v>245</v>
      </c>
      <c r="H106" s="56" t="s">
        <v>245</v>
      </c>
      <c r="I106" s="56" t="s">
        <v>245</v>
      </c>
      <c r="J106" s="56" t="s">
        <v>246</v>
      </c>
      <c r="K106" s="56">
        <v>26</v>
      </c>
      <c r="L106" s="56">
        <v>1300</v>
      </c>
      <c r="M106" s="56" t="s">
        <v>245</v>
      </c>
      <c r="N106" s="56" t="s">
        <v>247</v>
      </c>
      <c r="O106" s="56" t="s">
        <v>245</v>
      </c>
      <c r="P106" s="55" t="s">
        <v>468</v>
      </c>
      <c r="Q106" s="55" t="s">
        <v>645</v>
      </c>
      <c r="R106" s="55" t="s">
        <v>646</v>
      </c>
      <c r="S106" s="56" t="s">
        <v>245</v>
      </c>
    </row>
    <row r="107" spans="1:19" ht="21.75" customHeight="1" x14ac:dyDescent="0.3">
      <c r="A107" s="49">
        <v>103</v>
      </c>
      <c r="B107" s="52" t="s">
        <v>636</v>
      </c>
      <c r="C107" s="51" t="s">
        <v>471</v>
      </c>
      <c r="D107" s="51" t="s">
        <v>472</v>
      </c>
      <c r="E107" s="51" t="s">
        <v>243</v>
      </c>
      <c r="F107" s="52" t="s">
        <v>284</v>
      </c>
      <c r="G107" s="52" t="s">
        <v>245</v>
      </c>
      <c r="H107" s="52" t="s">
        <v>245</v>
      </c>
      <c r="I107" s="52" t="s">
        <v>246</v>
      </c>
      <c r="J107" s="52" t="s">
        <v>246</v>
      </c>
      <c r="K107" s="52">
        <v>16</v>
      </c>
      <c r="L107" s="52">
        <v>800</v>
      </c>
      <c r="M107" s="52" t="s">
        <v>246</v>
      </c>
      <c r="N107" s="52" t="s">
        <v>274</v>
      </c>
      <c r="O107" s="52" t="s">
        <v>245</v>
      </c>
      <c r="P107" s="51" t="s">
        <v>290</v>
      </c>
      <c r="Q107" s="51" t="s">
        <v>647</v>
      </c>
      <c r="R107" s="51" t="s">
        <v>648</v>
      </c>
      <c r="S107" s="52" t="s">
        <v>246</v>
      </c>
    </row>
    <row r="108" spans="1:19" ht="21.75" customHeight="1" x14ac:dyDescent="0.3">
      <c r="A108" s="53">
        <v>104</v>
      </c>
      <c r="B108" s="56" t="s">
        <v>636</v>
      </c>
      <c r="C108" s="55" t="s">
        <v>475</v>
      </c>
      <c r="D108" s="55" t="s">
        <v>476</v>
      </c>
      <c r="E108" s="55" t="s">
        <v>243</v>
      </c>
      <c r="F108" s="56" t="s">
        <v>260</v>
      </c>
      <c r="G108" s="56" t="s">
        <v>246</v>
      </c>
      <c r="H108" s="56" t="s">
        <v>245</v>
      </c>
      <c r="I108" s="56" t="s">
        <v>246</v>
      </c>
      <c r="J108" s="56" t="s">
        <v>246</v>
      </c>
      <c r="K108" s="56">
        <v>10</v>
      </c>
      <c r="L108" s="56">
        <v>500</v>
      </c>
      <c r="M108" s="56" t="s">
        <v>245</v>
      </c>
      <c r="N108" s="56" t="s">
        <v>247</v>
      </c>
      <c r="O108" s="56" t="s">
        <v>245</v>
      </c>
      <c r="P108" s="55" t="s">
        <v>308</v>
      </c>
      <c r="Q108" s="55" t="s">
        <v>649</v>
      </c>
      <c r="R108" s="55" t="s">
        <v>650</v>
      </c>
      <c r="S108" s="56" t="s">
        <v>245</v>
      </c>
    </row>
    <row r="109" spans="1:19" ht="21.75" customHeight="1" x14ac:dyDescent="0.3">
      <c r="A109" s="49">
        <v>105</v>
      </c>
      <c r="B109" s="52" t="s">
        <v>636</v>
      </c>
      <c r="C109" s="51" t="s">
        <v>480</v>
      </c>
      <c r="D109" s="51" t="s">
        <v>481</v>
      </c>
      <c r="E109" s="51" t="s">
        <v>243</v>
      </c>
      <c r="F109" s="52" t="s">
        <v>253</v>
      </c>
      <c r="G109" s="52" t="s">
        <v>245</v>
      </c>
      <c r="H109" s="52" t="s">
        <v>245</v>
      </c>
      <c r="I109" s="52" t="s">
        <v>245</v>
      </c>
      <c r="J109" s="52" t="s">
        <v>245</v>
      </c>
      <c r="K109" s="52">
        <v>30</v>
      </c>
      <c r="L109" s="52">
        <v>1500</v>
      </c>
      <c r="M109" s="52" t="s">
        <v>245</v>
      </c>
      <c r="N109" s="52" t="s">
        <v>254</v>
      </c>
      <c r="O109" s="52" t="s">
        <v>245</v>
      </c>
      <c r="P109" s="51" t="s">
        <v>482</v>
      </c>
      <c r="Q109" s="51" t="s">
        <v>651</v>
      </c>
      <c r="R109" s="51" t="s">
        <v>652</v>
      </c>
      <c r="S109" s="52" t="s">
        <v>246</v>
      </c>
    </row>
    <row r="110" spans="1:19" ht="21.75" customHeight="1" x14ac:dyDescent="0.3">
      <c r="A110" s="53">
        <v>106</v>
      </c>
      <c r="B110" s="56" t="s">
        <v>636</v>
      </c>
      <c r="C110" s="55" t="s">
        <v>485</v>
      </c>
      <c r="D110" s="55" t="s">
        <v>486</v>
      </c>
      <c r="E110" s="55" t="s">
        <v>243</v>
      </c>
      <c r="F110" s="56" t="s">
        <v>260</v>
      </c>
      <c r="G110" s="56" t="s">
        <v>246</v>
      </c>
      <c r="H110" s="56" t="s">
        <v>245</v>
      </c>
      <c r="I110" s="56" t="s">
        <v>246</v>
      </c>
      <c r="J110" s="56" t="s">
        <v>246</v>
      </c>
      <c r="K110" s="56">
        <v>16</v>
      </c>
      <c r="L110" s="56">
        <v>800</v>
      </c>
      <c r="M110" s="56" t="s">
        <v>245</v>
      </c>
      <c r="N110" s="56" t="s">
        <v>247</v>
      </c>
      <c r="O110" s="56" t="s">
        <v>245</v>
      </c>
      <c r="P110" s="55" t="s">
        <v>308</v>
      </c>
      <c r="Q110" s="55" t="s">
        <v>653</v>
      </c>
      <c r="R110" s="55" t="s">
        <v>654</v>
      </c>
      <c r="S110" s="56" t="s">
        <v>246</v>
      </c>
    </row>
    <row r="111" spans="1:19" ht="21.75" customHeight="1" x14ac:dyDescent="0.3">
      <c r="A111" s="49">
        <v>107</v>
      </c>
      <c r="B111" s="52" t="s">
        <v>636</v>
      </c>
      <c r="C111" s="51" t="s">
        <v>489</v>
      </c>
      <c r="D111" s="51" t="s">
        <v>490</v>
      </c>
      <c r="E111" s="51" t="s">
        <v>243</v>
      </c>
      <c r="F111" s="52" t="s">
        <v>253</v>
      </c>
      <c r="G111" s="52" t="s">
        <v>245</v>
      </c>
      <c r="H111" s="52" t="s">
        <v>245</v>
      </c>
      <c r="I111" s="52" t="s">
        <v>245</v>
      </c>
      <c r="J111" s="52" t="s">
        <v>245</v>
      </c>
      <c r="K111" s="52">
        <v>32</v>
      </c>
      <c r="L111" s="52">
        <v>1600</v>
      </c>
      <c r="M111" s="52" t="s">
        <v>245</v>
      </c>
      <c r="N111" s="52" t="s">
        <v>247</v>
      </c>
      <c r="O111" s="52" t="s">
        <v>245</v>
      </c>
      <c r="P111" s="51" t="s">
        <v>491</v>
      </c>
      <c r="Q111" s="51" t="s">
        <v>655</v>
      </c>
      <c r="R111" s="51" t="s">
        <v>656</v>
      </c>
      <c r="S111" s="52" t="s">
        <v>245</v>
      </c>
    </row>
    <row r="112" spans="1:19" ht="21.75" customHeight="1" x14ac:dyDescent="0.3">
      <c r="A112" s="53">
        <v>108</v>
      </c>
      <c r="B112" s="56" t="s">
        <v>657</v>
      </c>
      <c r="C112" s="55" t="s">
        <v>305</v>
      </c>
      <c r="D112" s="55" t="s">
        <v>306</v>
      </c>
      <c r="E112" s="55" t="s">
        <v>307</v>
      </c>
      <c r="F112" s="56" t="s">
        <v>284</v>
      </c>
      <c r="G112" s="56" t="s">
        <v>245</v>
      </c>
      <c r="H112" s="56" t="s">
        <v>245</v>
      </c>
      <c r="I112" s="56" t="s">
        <v>246</v>
      </c>
      <c r="J112" s="56" t="s">
        <v>246</v>
      </c>
      <c r="K112" s="56">
        <v>20</v>
      </c>
      <c r="L112" s="56">
        <v>1000</v>
      </c>
      <c r="M112" s="56" t="s">
        <v>245</v>
      </c>
      <c r="N112" s="56" t="s">
        <v>247</v>
      </c>
      <c r="O112" s="56" t="s">
        <v>245</v>
      </c>
      <c r="P112" s="55" t="s">
        <v>308</v>
      </c>
      <c r="Q112" s="55" t="s">
        <v>658</v>
      </c>
      <c r="R112" s="55" t="s">
        <v>659</v>
      </c>
      <c r="S112" s="56" t="s">
        <v>245</v>
      </c>
    </row>
    <row r="113" spans="1:19" ht="21.75" customHeight="1" x14ac:dyDescent="0.3">
      <c r="A113" s="49">
        <v>109</v>
      </c>
      <c r="B113" s="52" t="s">
        <v>657</v>
      </c>
      <c r="C113" s="51" t="s">
        <v>311</v>
      </c>
      <c r="D113" s="51" t="s">
        <v>278</v>
      </c>
      <c r="E113" s="51" t="s">
        <v>307</v>
      </c>
      <c r="F113" s="52" t="s">
        <v>284</v>
      </c>
      <c r="G113" s="52" t="s">
        <v>246</v>
      </c>
      <c r="H113" s="52" t="s">
        <v>245</v>
      </c>
      <c r="I113" s="52" t="s">
        <v>245</v>
      </c>
      <c r="J113" s="52" t="s">
        <v>245</v>
      </c>
      <c r="K113" s="52">
        <v>20</v>
      </c>
      <c r="L113" s="52">
        <v>1000</v>
      </c>
      <c r="M113" s="52" t="s">
        <v>245</v>
      </c>
      <c r="N113" s="52" t="s">
        <v>267</v>
      </c>
      <c r="O113" s="52" t="s">
        <v>246</v>
      </c>
      <c r="P113" s="51" t="s">
        <v>312</v>
      </c>
      <c r="Q113" s="51" t="s">
        <v>660</v>
      </c>
      <c r="R113" s="51" t="s">
        <v>661</v>
      </c>
      <c r="S113" s="52" t="s">
        <v>245</v>
      </c>
    </row>
    <row r="114" spans="1:19" ht="21.75" customHeight="1" x14ac:dyDescent="0.3">
      <c r="A114" s="53">
        <v>110</v>
      </c>
      <c r="B114" s="56" t="s">
        <v>657</v>
      </c>
      <c r="C114" s="55" t="s">
        <v>315</v>
      </c>
      <c r="D114" s="55" t="s">
        <v>316</v>
      </c>
      <c r="E114" s="55" t="s">
        <v>307</v>
      </c>
      <c r="F114" s="56" t="s">
        <v>284</v>
      </c>
      <c r="G114" s="56" t="s">
        <v>245</v>
      </c>
      <c r="H114" s="56" t="s">
        <v>245</v>
      </c>
      <c r="I114" s="56" t="s">
        <v>245</v>
      </c>
      <c r="J114" s="56" t="s">
        <v>246</v>
      </c>
      <c r="K114" s="56">
        <v>26</v>
      </c>
      <c r="L114" s="56">
        <v>1300</v>
      </c>
      <c r="M114" s="56" t="s">
        <v>245</v>
      </c>
      <c r="N114" s="56" t="s">
        <v>254</v>
      </c>
      <c r="O114" s="56" t="s">
        <v>245</v>
      </c>
      <c r="P114" s="55" t="s">
        <v>317</v>
      </c>
      <c r="Q114" s="55" t="s">
        <v>662</v>
      </c>
      <c r="R114" s="55" t="s">
        <v>663</v>
      </c>
      <c r="S114" s="56" t="s">
        <v>246</v>
      </c>
    </row>
    <row r="115" spans="1:19" ht="21.75" customHeight="1" x14ac:dyDescent="0.3">
      <c r="A115" s="49">
        <v>111</v>
      </c>
      <c r="B115" s="52" t="s">
        <v>657</v>
      </c>
      <c r="C115" s="51" t="s">
        <v>320</v>
      </c>
      <c r="D115" s="51" t="s">
        <v>321</v>
      </c>
      <c r="E115" s="51" t="s">
        <v>307</v>
      </c>
      <c r="F115" s="52" t="s">
        <v>253</v>
      </c>
      <c r="G115" s="52" t="s">
        <v>245</v>
      </c>
      <c r="H115" s="52" t="s">
        <v>245</v>
      </c>
      <c r="I115" s="52" t="s">
        <v>245</v>
      </c>
      <c r="J115" s="52" t="s">
        <v>245</v>
      </c>
      <c r="K115" s="52">
        <v>38</v>
      </c>
      <c r="L115" s="52">
        <v>1900</v>
      </c>
      <c r="M115" s="52" t="s">
        <v>245</v>
      </c>
      <c r="N115" s="52" t="s">
        <v>254</v>
      </c>
      <c r="O115" s="52" t="s">
        <v>245</v>
      </c>
      <c r="P115" s="51" t="s">
        <v>255</v>
      </c>
      <c r="Q115" s="51" t="s">
        <v>664</v>
      </c>
      <c r="R115" s="51" t="s">
        <v>665</v>
      </c>
      <c r="S115" s="52" t="s">
        <v>246</v>
      </c>
    </row>
    <row r="116" spans="1:19" ht="21.75" customHeight="1" x14ac:dyDescent="0.3">
      <c r="A116" s="53">
        <v>112</v>
      </c>
      <c r="B116" s="56" t="s">
        <v>657</v>
      </c>
      <c r="C116" s="55" t="s">
        <v>324</v>
      </c>
      <c r="D116" s="55" t="s">
        <v>325</v>
      </c>
      <c r="E116" s="55" t="s">
        <v>307</v>
      </c>
      <c r="F116" s="56" t="s">
        <v>253</v>
      </c>
      <c r="G116" s="56" t="s">
        <v>245</v>
      </c>
      <c r="H116" s="56" t="s">
        <v>245</v>
      </c>
      <c r="I116" s="56" t="s">
        <v>245</v>
      </c>
      <c r="J116" s="56" t="s">
        <v>246</v>
      </c>
      <c r="K116" s="56">
        <v>22</v>
      </c>
      <c r="L116" s="56">
        <v>1100</v>
      </c>
      <c r="M116" s="56" t="s">
        <v>245</v>
      </c>
      <c r="N116" s="56" t="s">
        <v>247</v>
      </c>
      <c r="O116" s="56" t="s">
        <v>245</v>
      </c>
      <c r="P116" s="55" t="s">
        <v>326</v>
      </c>
      <c r="Q116" s="55" t="s">
        <v>666</v>
      </c>
      <c r="R116" s="55" t="s">
        <v>667</v>
      </c>
      <c r="S116" s="56" t="s">
        <v>246</v>
      </c>
    </row>
    <row r="117" spans="1:19" ht="21.75" customHeight="1" x14ac:dyDescent="0.3">
      <c r="A117" s="49">
        <v>113</v>
      </c>
      <c r="B117" s="52" t="s">
        <v>657</v>
      </c>
      <c r="C117" s="51" t="s">
        <v>329</v>
      </c>
      <c r="D117" s="51" t="s">
        <v>330</v>
      </c>
      <c r="E117" s="51" t="s">
        <v>307</v>
      </c>
      <c r="F117" s="52" t="s">
        <v>284</v>
      </c>
      <c r="G117" s="52" t="s">
        <v>245</v>
      </c>
      <c r="H117" s="52" t="s">
        <v>245</v>
      </c>
      <c r="I117" s="52" t="s">
        <v>246</v>
      </c>
      <c r="J117" s="52" t="s">
        <v>246</v>
      </c>
      <c r="K117" s="52">
        <v>15</v>
      </c>
      <c r="L117" s="52">
        <v>750</v>
      </c>
      <c r="M117" s="52" t="s">
        <v>245</v>
      </c>
      <c r="N117" s="52" t="s">
        <v>247</v>
      </c>
      <c r="O117" s="52" t="s">
        <v>245</v>
      </c>
      <c r="P117" s="51" t="s">
        <v>290</v>
      </c>
      <c r="Q117" s="51" t="s">
        <v>668</v>
      </c>
      <c r="R117" s="51" t="s">
        <v>669</v>
      </c>
      <c r="S117" s="52" t="s">
        <v>246</v>
      </c>
    </row>
    <row r="118" spans="1:19" ht="21.75" customHeight="1" x14ac:dyDescent="0.3">
      <c r="A118" s="53">
        <v>114</v>
      </c>
      <c r="B118" s="56" t="s">
        <v>657</v>
      </c>
      <c r="C118" s="55" t="s">
        <v>333</v>
      </c>
      <c r="D118" s="55" t="s">
        <v>334</v>
      </c>
      <c r="E118" s="55" t="s">
        <v>307</v>
      </c>
      <c r="F118" s="56" t="s">
        <v>284</v>
      </c>
      <c r="G118" s="56" t="s">
        <v>246</v>
      </c>
      <c r="H118" s="56" t="s">
        <v>245</v>
      </c>
      <c r="I118" s="56" t="s">
        <v>245</v>
      </c>
      <c r="J118" s="56" t="s">
        <v>300</v>
      </c>
      <c r="K118" s="56">
        <v>17</v>
      </c>
      <c r="L118" s="56">
        <v>850</v>
      </c>
      <c r="M118" s="56" t="s">
        <v>246</v>
      </c>
      <c r="N118" s="56" t="s">
        <v>274</v>
      </c>
      <c r="O118" s="56" t="s">
        <v>246</v>
      </c>
      <c r="P118" s="55" t="s">
        <v>335</v>
      </c>
      <c r="Q118" s="55" t="s">
        <v>670</v>
      </c>
      <c r="R118" s="55" t="s">
        <v>671</v>
      </c>
      <c r="S118" s="56" t="s">
        <v>245</v>
      </c>
    </row>
    <row r="119" spans="1:19" ht="21.75" customHeight="1" x14ac:dyDescent="0.3">
      <c r="A119" s="49">
        <v>115</v>
      </c>
      <c r="B119" s="52" t="s">
        <v>657</v>
      </c>
      <c r="C119" s="51" t="s">
        <v>338</v>
      </c>
      <c r="D119" s="51" t="s">
        <v>339</v>
      </c>
      <c r="E119" s="51" t="s">
        <v>307</v>
      </c>
      <c r="F119" s="52" t="s">
        <v>253</v>
      </c>
      <c r="G119" s="52" t="s">
        <v>245</v>
      </c>
      <c r="H119" s="52" t="s">
        <v>245</v>
      </c>
      <c r="I119" s="52" t="s">
        <v>245</v>
      </c>
      <c r="J119" s="52" t="s">
        <v>245</v>
      </c>
      <c r="K119" s="52">
        <v>33</v>
      </c>
      <c r="L119" s="52">
        <v>1650</v>
      </c>
      <c r="M119" s="52" t="s">
        <v>245</v>
      </c>
      <c r="N119" s="52" t="s">
        <v>254</v>
      </c>
      <c r="O119" s="52" t="s">
        <v>245</v>
      </c>
      <c r="P119" s="51" t="s">
        <v>340</v>
      </c>
      <c r="Q119" s="51" t="s">
        <v>672</v>
      </c>
      <c r="R119" s="51" t="s">
        <v>673</v>
      </c>
      <c r="S119" s="52" t="s">
        <v>246</v>
      </c>
    </row>
    <row r="120" spans="1:19" ht="21.75" customHeight="1" x14ac:dyDescent="0.3">
      <c r="A120" s="53">
        <v>116</v>
      </c>
      <c r="B120" s="56" t="s">
        <v>657</v>
      </c>
      <c r="C120" s="55" t="s">
        <v>343</v>
      </c>
      <c r="D120" s="55" t="s">
        <v>344</v>
      </c>
      <c r="E120" s="55" t="s">
        <v>307</v>
      </c>
      <c r="F120" s="56" t="s">
        <v>284</v>
      </c>
      <c r="G120" s="56" t="s">
        <v>245</v>
      </c>
      <c r="H120" s="56" t="s">
        <v>245</v>
      </c>
      <c r="I120" s="56" t="s">
        <v>246</v>
      </c>
      <c r="J120" s="56" t="s">
        <v>246</v>
      </c>
      <c r="K120" s="56">
        <v>20</v>
      </c>
      <c r="L120" s="56">
        <v>1000</v>
      </c>
      <c r="M120" s="56" t="s">
        <v>245</v>
      </c>
      <c r="N120" s="56" t="s">
        <v>247</v>
      </c>
      <c r="O120" s="56" t="s">
        <v>245</v>
      </c>
      <c r="P120" s="55" t="s">
        <v>345</v>
      </c>
      <c r="Q120" s="55" t="s">
        <v>674</v>
      </c>
      <c r="R120" s="55" t="s">
        <v>675</v>
      </c>
      <c r="S120" s="56" t="s">
        <v>245</v>
      </c>
    </row>
    <row r="121" spans="1:19" ht="21.75" customHeight="1" x14ac:dyDescent="0.3">
      <c r="A121" s="49">
        <v>117</v>
      </c>
      <c r="B121" s="52" t="s">
        <v>657</v>
      </c>
      <c r="C121" s="51" t="s">
        <v>348</v>
      </c>
      <c r="D121" s="51" t="s">
        <v>349</v>
      </c>
      <c r="E121" s="51" t="s">
        <v>307</v>
      </c>
      <c r="F121" s="52" t="s">
        <v>273</v>
      </c>
      <c r="G121" s="52" t="s">
        <v>246</v>
      </c>
      <c r="H121" s="52" t="s">
        <v>246</v>
      </c>
      <c r="I121" s="52" t="s">
        <v>245</v>
      </c>
      <c r="J121" s="52" t="s">
        <v>246</v>
      </c>
      <c r="K121" s="52">
        <v>6</v>
      </c>
      <c r="L121" s="52">
        <v>300</v>
      </c>
      <c r="M121" s="52" t="s">
        <v>246</v>
      </c>
      <c r="N121" s="52" t="s">
        <v>274</v>
      </c>
      <c r="O121" s="52" t="s">
        <v>246</v>
      </c>
      <c r="P121" s="51" t="s">
        <v>248</v>
      </c>
      <c r="Q121" s="51" t="s">
        <v>676</v>
      </c>
      <c r="R121" s="51" t="s">
        <v>677</v>
      </c>
      <c r="S121" s="52" t="s">
        <v>246</v>
      </c>
    </row>
    <row r="122" spans="1:19" ht="21.75" customHeight="1" x14ac:dyDescent="0.3">
      <c r="A122" s="53">
        <v>118</v>
      </c>
      <c r="B122" s="56" t="s">
        <v>678</v>
      </c>
      <c r="C122" s="55" t="s">
        <v>498</v>
      </c>
      <c r="D122" s="55" t="s">
        <v>499</v>
      </c>
      <c r="E122" s="55" t="s">
        <v>307</v>
      </c>
      <c r="F122" s="56" t="s">
        <v>260</v>
      </c>
      <c r="G122" s="56" t="s">
        <v>246</v>
      </c>
      <c r="H122" s="56" t="s">
        <v>245</v>
      </c>
      <c r="I122" s="56" t="s">
        <v>246</v>
      </c>
      <c r="J122" s="56" t="s">
        <v>246</v>
      </c>
      <c r="K122" s="56">
        <v>12</v>
      </c>
      <c r="L122" s="56">
        <v>600</v>
      </c>
      <c r="M122" s="56" t="s">
        <v>245</v>
      </c>
      <c r="N122" s="56" t="s">
        <v>247</v>
      </c>
      <c r="O122" s="56" t="s">
        <v>245</v>
      </c>
      <c r="P122" s="55" t="s">
        <v>308</v>
      </c>
      <c r="Q122" s="55" t="s">
        <v>679</v>
      </c>
      <c r="R122" s="55" t="s">
        <v>680</v>
      </c>
      <c r="S122" s="56" t="s">
        <v>245</v>
      </c>
    </row>
    <row r="123" spans="1:19" ht="21.75" customHeight="1" x14ac:dyDescent="0.3">
      <c r="A123" s="49">
        <v>119</v>
      </c>
      <c r="B123" s="52" t="s">
        <v>678</v>
      </c>
      <c r="C123" s="51" t="s">
        <v>502</v>
      </c>
      <c r="D123" s="51" t="s">
        <v>503</v>
      </c>
      <c r="E123" s="51" t="s">
        <v>307</v>
      </c>
      <c r="F123" s="52" t="s">
        <v>266</v>
      </c>
      <c r="G123" s="52" t="s">
        <v>246</v>
      </c>
      <c r="H123" s="52" t="s">
        <v>245</v>
      </c>
      <c r="I123" s="52" t="s">
        <v>245</v>
      </c>
      <c r="J123" s="52" t="s">
        <v>246</v>
      </c>
      <c r="K123" s="52">
        <v>11</v>
      </c>
      <c r="L123" s="52">
        <v>550</v>
      </c>
      <c r="M123" s="52" t="s">
        <v>245</v>
      </c>
      <c r="N123" s="52" t="s">
        <v>267</v>
      </c>
      <c r="O123" s="52" t="s">
        <v>246</v>
      </c>
      <c r="P123" s="51" t="s">
        <v>268</v>
      </c>
      <c r="Q123" s="51" t="s">
        <v>681</v>
      </c>
      <c r="R123" s="51" t="s">
        <v>682</v>
      </c>
      <c r="S123" s="52" t="s">
        <v>245</v>
      </c>
    </row>
    <row r="124" spans="1:19" ht="21.75" customHeight="1" x14ac:dyDescent="0.3">
      <c r="A124" s="53">
        <v>120</v>
      </c>
      <c r="B124" s="56" t="s">
        <v>678</v>
      </c>
      <c r="C124" s="55" t="s">
        <v>506</v>
      </c>
      <c r="D124" s="55" t="s">
        <v>507</v>
      </c>
      <c r="E124" s="55" t="s">
        <v>307</v>
      </c>
      <c r="F124" s="56" t="s">
        <v>260</v>
      </c>
      <c r="G124" s="56" t="s">
        <v>246</v>
      </c>
      <c r="H124" s="56" t="s">
        <v>245</v>
      </c>
      <c r="I124" s="56" t="s">
        <v>246</v>
      </c>
      <c r="J124" s="56" t="s">
        <v>246</v>
      </c>
      <c r="K124" s="56">
        <v>11</v>
      </c>
      <c r="L124" s="56">
        <v>550</v>
      </c>
      <c r="M124" s="56" t="s">
        <v>245</v>
      </c>
      <c r="N124" s="56" t="s">
        <v>247</v>
      </c>
      <c r="O124" s="56" t="s">
        <v>245</v>
      </c>
      <c r="P124" s="55" t="s">
        <v>261</v>
      </c>
      <c r="Q124" s="55" t="s">
        <v>683</v>
      </c>
      <c r="R124" s="55" t="s">
        <v>684</v>
      </c>
      <c r="S124" s="56" t="s">
        <v>245</v>
      </c>
    </row>
    <row r="125" spans="1:19" ht="21.75" customHeight="1" x14ac:dyDescent="0.3">
      <c r="A125" s="49">
        <v>121</v>
      </c>
      <c r="B125" s="52" t="s">
        <v>678</v>
      </c>
      <c r="C125" s="51" t="s">
        <v>510</v>
      </c>
      <c r="D125" s="51" t="s">
        <v>511</v>
      </c>
      <c r="E125" s="51" t="s">
        <v>307</v>
      </c>
      <c r="F125" s="52" t="s">
        <v>253</v>
      </c>
      <c r="G125" s="52" t="s">
        <v>245</v>
      </c>
      <c r="H125" s="52" t="s">
        <v>245</v>
      </c>
      <c r="I125" s="52" t="s">
        <v>245</v>
      </c>
      <c r="J125" s="52" t="s">
        <v>245</v>
      </c>
      <c r="K125" s="52">
        <v>26</v>
      </c>
      <c r="L125" s="52">
        <v>1300</v>
      </c>
      <c r="M125" s="52" t="s">
        <v>245</v>
      </c>
      <c r="N125" s="52" t="s">
        <v>254</v>
      </c>
      <c r="O125" s="52" t="s">
        <v>245</v>
      </c>
      <c r="P125" s="51" t="s">
        <v>491</v>
      </c>
      <c r="Q125" s="51" t="s">
        <v>685</v>
      </c>
      <c r="R125" s="51" t="s">
        <v>686</v>
      </c>
      <c r="S125" s="52" t="s">
        <v>246</v>
      </c>
    </row>
    <row r="126" spans="1:19" ht="21.75" customHeight="1" x14ac:dyDescent="0.3">
      <c r="A126" s="53">
        <v>122</v>
      </c>
      <c r="B126" s="56" t="s">
        <v>678</v>
      </c>
      <c r="C126" s="55" t="s">
        <v>514</v>
      </c>
      <c r="D126" s="55" t="s">
        <v>515</v>
      </c>
      <c r="E126" s="55" t="s">
        <v>307</v>
      </c>
      <c r="F126" s="56" t="s">
        <v>266</v>
      </c>
      <c r="G126" s="56" t="s">
        <v>246</v>
      </c>
      <c r="H126" s="56" t="s">
        <v>245</v>
      </c>
      <c r="I126" s="56" t="s">
        <v>245</v>
      </c>
      <c r="J126" s="56" t="s">
        <v>246</v>
      </c>
      <c r="K126" s="56">
        <v>10</v>
      </c>
      <c r="L126" s="56">
        <v>500</v>
      </c>
      <c r="M126" s="56" t="s">
        <v>245</v>
      </c>
      <c r="N126" s="56" t="s">
        <v>267</v>
      </c>
      <c r="O126" s="56" t="s">
        <v>246</v>
      </c>
      <c r="P126" s="55" t="s">
        <v>248</v>
      </c>
      <c r="Q126" s="55" t="s">
        <v>687</v>
      </c>
      <c r="R126" s="55" t="s">
        <v>688</v>
      </c>
      <c r="S126" s="56" t="s">
        <v>245</v>
      </c>
    </row>
    <row r="127" spans="1:19" ht="21.75" customHeight="1" x14ac:dyDescent="0.3">
      <c r="A127" s="49">
        <v>123</v>
      </c>
      <c r="B127" s="52" t="s">
        <v>678</v>
      </c>
      <c r="C127" s="51" t="s">
        <v>518</v>
      </c>
      <c r="D127" s="51" t="s">
        <v>519</v>
      </c>
      <c r="E127" s="51" t="s">
        <v>307</v>
      </c>
      <c r="F127" s="52" t="s">
        <v>253</v>
      </c>
      <c r="G127" s="52" t="s">
        <v>245</v>
      </c>
      <c r="H127" s="52" t="s">
        <v>245</v>
      </c>
      <c r="I127" s="52" t="s">
        <v>245</v>
      </c>
      <c r="J127" s="52" t="s">
        <v>300</v>
      </c>
      <c r="K127" s="52">
        <v>28</v>
      </c>
      <c r="L127" s="52">
        <v>1400</v>
      </c>
      <c r="M127" s="52" t="s">
        <v>245</v>
      </c>
      <c r="N127" s="52" t="s">
        <v>247</v>
      </c>
      <c r="O127" s="52" t="s">
        <v>245</v>
      </c>
      <c r="P127" s="51" t="s">
        <v>396</v>
      </c>
      <c r="Q127" s="51" t="s">
        <v>689</v>
      </c>
      <c r="R127" s="51" t="s">
        <v>690</v>
      </c>
      <c r="S127" s="52" t="s">
        <v>245</v>
      </c>
    </row>
    <row r="128" spans="1:19" ht="21.75" customHeight="1" x14ac:dyDescent="0.3">
      <c r="A128" s="53">
        <v>124</v>
      </c>
      <c r="B128" s="56" t="s">
        <v>678</v>
      </c>
      <c r="C128" s="55" t="s">
        <v>523</v>
      </c>
      <c r="D128" s="55" t="s">
        <v>524</v>
      </c>
      <c r="E128" s="55" t="s">
        <v>307</v>
      </c>
      <c r="F128" s="56" t="s">
        <v>253</v>
      </c>
      <c r="G128" s="56" t="s">
        <v>245</v>
      </c>
      <c r="H128" s="56" t="s">
        <v>245</v>
      </c>
      <c r="I128" s="56" t="s">
        <v>245</v>
      </c>
      <c r="J128" s="56" t="s">
        <v>245</v>
      </c>
      <c r="K128" s="56">
        <v>35</v>
      </c>
      <c r="L128" s="56">
        <v>1750</v>
      </c>
      <c r="M128" s="56" t="s">
        <v>245</v>
      </c>
      <c r="N128" s="56" t="s">
        <v>254</v>
      </c>
      <c r="O128" s="56" t="s">
        <v>245</v>
      </c>
      <c r="P128" s="55" t="s">
        <v>377</v>
      </c>
      <c r="Q128" s="55" t="s">
        <v>691</v>
      </c>
      <c r="R128" s="55" t="s">
        <v>692</v>
      </c>
      <c r="S128" s="56" t="s">
        <v>245</v>
      </c>
    </row>
    <row r="129" spans="1:19" ht="21.75" customHeight="1" x14ac:dyDescent="0.3">
      <c r="A129" s="49">
        <v>125</v>
      </c>
      <c r="B129" s="52" t="s">
        <v>678</v>
      </c>
      <c r="C129" s="51" t="s">
        <v>527</v>
      </c>
      <c r="D129" s="51" t="s">
        <v>528</v>
      </c>
      <c r="E129" s="51" t="s">
        <v>307</v>
      </c>
      <c r="F129" s="52" t="s">
        <v>284</v>
      </c>
      <c r="G129" s="52" t="s">
        <v>245</v>
      </c>
      <c r="H129" s="52" t="s">
        <v>245</v>
      </c>
      <c r="I129" s="52" t="s">
        <v>246</v>
      </c>
      <c r="J129" s="52" t="s">
        <v>246</v>
      </c>
      <c r="K129" s="52">
        <v>16</v>
      </c>
      <c r="L129" s="52">
        <v>800</v>
      </c>
      <c r="M129" s="52" t="s">
        <v>246</v>
      </c>
      <c r="N129" s="52" t="s">
        <v>274</v>
      </c>
      <c r="O129" s="52" t="s">
        <v>245</v>
      </c>
      <c r="P129" s="51" t="s">
        <v>290</v>
      </c>
      <c r="Q129" s="51" t="s">
        <v>693</v>
      </c>
      <c r="R129" s="51" t="s">
        <v>694</v>
      </c>
      <c r="S129" s="52" t="s">
        <v>246</v>
      </c>
    </row>
    <row r="130" spans="1:19" ht="21.75" customHeight="1" x14ac:dyDescent="0.3">
      <c r="A130" s="53">
        <v>126</v>
      </c>
      <c r="B130" s="56" t="s">
        <v>678</v>
      </c>
      <c r="C130" s="55" t="s">
        <v>531</v>
      </c>
      <c r="D130" s="55" t="s">
        <v>532</v>
      </c>
      <c r="E130" s="55" t="s">
        <v>307</v>
      </c>
      <c r="F130" s="56" t="s">
        <v>253</v>
      </c>
      <c r="G130" s="56" t="s">
        <v>245</v>
      </c>
      <c r="H130" s="56" t="s">
        <v>245</v>
      </c>
      <c r="I130" s="56" t="s">
        <v>245</v>
      </c>
      <c r="J130" s="56" t="s">
        <v>246</v>
      </c>
      <c r="K130" s="56">
        <v>22</v>
      </c>
      <c r="L130" s="56">
        <v>1100</v>
      </c>
      <c r="M130" s="56" t="s">
        <v>245</v>
      </c>
      <c r="N130" s="56" t="s">
        <v>247</v>
      </c>
      <c r="O130" s="56" t="s">
        <v>245</v>
      </c>
      <c r="P130" s="55" t="s">
        <v>317</v>
      </c>
      <c r="Q130" s="55" t="s">
        <v>695</v>
      </c>
      <c r="R130" s="55" t="s">
        <v>696</v>
      </c>
      <c r="S130" s="56" t="s">
        <v>245</v>
      </c>
    </row>
    <row r="131" spans="1:19" ht="21.75" customHeight="1" x14ac:dyDescent="0.3">
      <c r="A131" s="49">
        <v>127</v>
      </c>
      <c r="B131" s="52" t="s">
        <v>678</v>
      </c>
      <c r="C131" s="51" t="s">
        <v>535</v>
      </c>
      <c r="D131" s="51" t="s">
        <v>330</v>
      </c>
      <c r="E131" s="51" t="s">
        <v>307</v>
      </c>
      <c r="F131" s="52" t="s">
        <v>253</v>
      </c>
      <c r="G131" s="52" t="s">
        <v>245</v>
      </c>
      <c r="H131" s="52" t="s">
        <v>245</v>
      </c>
      <c r="I131" s="52" t="s">
        <v>245</v>
      </c>
      <c r="J131" s="52" t="s">
        <v>245</v>
      </c>
      <c r="K131" s="52">
        <v>24</v>
      </c>
      <c r="L131" s="52">
        <v>1200</v>
      </c>
      <c r="M131" s="52" t="s">
        <v>245</v>
      </c>
      <c r="N131" s="52" t="s">
        <v>247</v>
      </c>
      <c r="O131" s="52" t="s">
        <v>245</v>
      </c>
      <c r="P131" s="51" t="s">
        <v>340</v>
      </c>
      <c r="Q131" s="51" t="s">
        <v>697</v>
      </c>
      <c r="R131" s="51" t="s">
        <v>698</v>
      </c>
      <c r="S131" s="52" t="s">
        <v>246</v>
      </c>
    </row>
    <row r="132" spans="1:19" ht="21.75" customHeight="1" x14ac:dyDescent="0.3">
      <c r="A132" s="53">
        <v>128</v>
      </c>
      <c r="B132" s="56" t="s">
        <v>699</v>
      </c>
      <c r="C132" s="55" t="s">
        <v>353</v>
      </c>
      <c r="D132" s="55" t="s">
        <v>354</v>
      </c>
      <c r="E132" s="55" t="s">
        <v>307</v>
      </c>
      <c r="F132" s="56" t="s">
        <v>284</v>
      </c>
      <c r="G132" s="56" t="s">
        <v>246</v>
      </c>
      <c r="H132" s="56" t="s">
        <v>245</v>
      </c>
      <c r="I132" s="56" t="s">
        <v>245</v>
      </c>
      <c r="J132" s="56" t="s">
        <v>300</v>
      </c>
      <c r="K132" s="56">
        <v>22</v>
      </c>
      <c r="L132" s="56">
        <v>1100</v>
      </c>
      <c r="M132" s="56" t="s">
        <v>245</v>
      </c>
      <c r="N132" s="56" t="s">
        <v>267</v>
      </c>
      <c r="O132" s="56" t="s">
        <v>246</v>
      </c>
      <c r="P132" s="55" t="s">
        <v>335</v>
      </c>
      <c r="Q132" s="55" t="s">
        <v>700</v>
      </c>
      <c r="R132" s="55" t="s">
        <v>701</v>
      </c>
      <c r="S132" s="56" t="s">
        <v>245</v>
      </c>
    </row>
    <row r="133" spans="1:19" ht="21.75" customHeight="1" x14ac:dyDescent="0.3">
      <c r="A133" s="49">
        <v>129</v>
      </c>
      <c r="B133" s="52" t="s">
        <v>699</v>
      </c>
      <c r="C133" s="51" t="s">
        <v>357</v>
      </c>
      <c r="D133" s="51" t="s">
        <v>358</v>
      </c>
      <c r="E133" s="51" t="s">
        <v>307</v>
      </c>
      <c r="F133" s="52" t="s">
        <v>284</v>
      </c>
      <c r="G133" s="52" t="s">
        <v>245</v>
      </c>
      <c r="H133" s="52" t="s">
        <v>245</v>
      </c>
      <c r="I133" s="52" t="s">
        <v>245</v>
      </c>
      <c r="J133" s="52" t="s">
        <v>246</v>
      </c>
      <c r="K133" s="52">
        <v>26</v>
      </c>
      <c r="L133" s="52">
        <v>1300</v>
      </c>
      <c r="M133" s="52" t="s">
        <v>245</v>
      </c>
      <c r="N133" s="52" t="s">
        <v>247</v>
      </c>
      <c r="O133" s="52" t="s">
        <v>245</v>
      </c>
      <c r="P133" s="51" t="s">
        <v>359</v>
      </c>
      <c r="Q133" s="51" t="s">
        <v>702</v>
      </c>
      <c r="R133" s="51" t="s">
        <v>703</v>
      </c>
      <c r="S133" s="52" t="s">
        <v>246</v>
      </c>
    </row>
    <row r="134" spans="1:19" ht="21.75" customHeight="1" x14ac:dyDescent="0.3">
      <c r="A134" s="53">
        <v>130</v>
      </c>
      <c r="B134" s="56" t="s">
        <v>699</v>
      </c>
      <c r="C134" s="55" t="s">
        <v>362</v>
      </c>
      <c r="D134" s="55" t="s">
        <v>363</v>
      </c>
      <c r="E134" s="55" t="s">
        <v>307</v>
      </c>
      <c r="F134" s="56" t="s">
        <v>253</v>
      </c>
      <c r="G134" s="56" t="s">
        <v>245</v>
      </c>
      <c r="H134" s="56" t="s">
        <v>245</v>
      </c>
      <c r="I134" s="56" t="s">
        <v>245</v>
      </c>
      <c r="J134" s="56" t="s">
        <v>245</v>
      </c>
      <c r="K134" s="56">
        <v>34</v>
      </c>
      <c r="L134" s="56">
        <v>1700</v>
      </c>
      <c r="M134" s="56" t="s">
        <v>245</v>
      </c>
      <c r="N134" s="56" t="s">
        <v>254</v>
      </c>
      <c r="O134" s="56" t="s">
        <v>245</v>
      </c>
      <c r="P134" s="55" t="s">
        <v>317</v>
      </c>
      <c r="Q134" s="55" t="s">
        <v>704</v>
      </c>
      <c r="R134" s="55" t="s">
        <v>705</v>
      </c>
      <c r="S134" s="56" t="s">
        <v>246</v>
      </c>
    </row>
    <row r="135" spans="1:19" ht="21.75" customHeight="1" x14ac:dyDescent="0.3">
      <c r="A135" s="49">
        <v>131</v>
      </c>
      <c r="B135" s="52" t="s">
        <v>699</v>
      </c>
      <c r="C135" s="51" t="s">
        <v>366</v>
      </c>
      <c r="D135" s="51" t="s">
        <v>367</v>
      </c>
      <c r="E135" s="51" t="s">
        <v>307</v>
      </c>
      <c r="F135" s="52" t="s">
        <v>253</v>
      </c>
      <c r="G135" s="52" t="s">
        <v>245</v>
      </c>
      <c r="H135" s="52" t="s">
        <v>245</v>
      </c>
      <c r="I135" s="52" t="s">
        <v>245</v>
      </c>
      <c r="J135" s="52" t="s">
        <v>245</v>
      </c>
      <c r="K135" s="52">
        <v>30</v>
      </c>
      <c r="L135" s="52">
        <v>1500</v>
      </c>
      <c r="M135" s="52" t="s">
        <v>245</v>
      </c>
      <c r="N135" s="52" t="s">
        <v>247</v>
      </c>
      <c r="O135" s="52" t="s">
        <v>245</v>
      </c>
      <c r="P135" s="51" t="s">
        <v>368</v>
      </c>
      <c r="Q135" s="51" t="s">
        <v>706</v>
      </c>
      <c r="R135" s="51" t="s">
        <v>707</v>
      </c>
      <c r="S135" s="52" t="s">
        <v>246</v>
      </c>
    </row>
    <row r="136" spans="1:19" ht="21.75" customHeight="1" x14ac:dyDescent="0.3">
      <c r="A136" s="53">
        <v>132</v>
      </c>
      <c r="B136" s="56" t="s">
        <v>699</v>
      </c>
      <c r="C136" s="55" t="s">
        <v>538</v>
      </c>
      <c r="D136" s="55" t="s">
        <v>539</v>
      </c>
      <c r="E136" s="55" t="s">
        <v>307</v>
      </c>
      <c r="F136" s="56" t="s">
        <v>273</v>
      </c>
      <c r="G136" s="56" t="s">
        <v>246</v>
      </c>
      <c r="H136" s="56" t="s">
        <v>246</v>
      </c>
      <c r="I136" s="56" t="s">
        <v>245</v>
      </c>
      <c r="J136" s="56" t="s">
        <v>246</v>
      </c>
      <c r="K136" s="56">
        <v>5</v>
      </c>
      <c r="L136" s="56">
        <v>250</v>
      </c>
      <c r="M136" s="56" t="s">
        <v>246</v>
      </c>
      <c r="N136" s="56" t="s">
        <v>274</v>
      </c>
      <c r="O136" s="56" t="s">
        <v>246</v>
      </c>
      <c r="P136" s="55" t="s">
        <v>248</v>
      </c>
      <c r="Q136" s="55" t="s">
        <v>708</v>
      </c>
      <c r="R136" s="55" t="s">
        <v>709</v>
      </c>
      <c r="S136" s="56" t="s">
        <v>246</v>
      </c>
    </row>
    <row r="137" spans="1:19" ht="21.75" customHeight="1" x14ac:dyDescent="0.3">
      <c r="A137" s="49">
        <v>133</v>
      </c>
      <c r="B137" s="52" t="s">
        <v>699</v>
      </c>
      <c r="C137" s="51" t="s">
        <v>542</v>
      </c>
      <c r="D137" s="51" t="s">
        <v>543</v>
      </c>
      <c r="E137" s="51" t="s">
        <v>307</v>
      </c>
      <c r="F137" s="52" t="s">
        <v>273</v>
      </c>
      <c r="G137" s="52" t="s">
        <v>246</v>
      </c>
      <c r="H137" s="52" t="s">
        <v>246</v>
      </c>
      <c r="I137" s="52" t="s">
        <v>245</v>
      </c>
      <c r="J137" s="52" t="s">
        <v>246</v>
      </c>
      <c r="K137" s="52">
        <v>5</v>
      </c>
      <c r="L137" s="52">
        <v>250</v>
      </c>
      <c r="M137" s="52" t="s">
        <v>246</v>
      </c>
      <c r="N137" s="52" t="s">
        <v>274</v>
      </c>
      <c r="O137" s="52" t="s">
        <v>246</v>
      </c>
      <c r="P137" s="51" t="s">
        <v>248</v>
      </c>
      <c r="Q137" s="51" t="s">
        <v>710</v>
      </c>
      <c r="R137" s="51" t="s">
        <v>711</v>
      </c>
      <c r="S137" s="52" t="s">
        <v>246</v>
      </c>
    </row>
    <row r="138" spans="1:19" ht="21.75" customHeight="1" x14ac:dyDescent="0.3">
      <c r="A138" s="53">
        <v>134</v>
      </c>
      <c r="B138" s="56" t="s">
        <v>699</v>
      </c>
      <c r="C138" s="55" t="s">
        <v>371</v>
      </c>
      <c r="D138" s="55" t="s">
        <v>372</v>
      </c>
      <c r="E138" s="55" t="s">
        <v>307</v>
      </c>
      <c r="F138" s="56" t="s">
        <v>284</v>
      </c>
      <c r="G138" s="56" t="s">
        <v>245</v>
      </c>
      <c r="H138" s="56" t="s">
        <v>245</v>
      </c>
      <c r="I138" s="56" t="s">
        <v>246</v>
      </c>
      <c r="J138" s="56" t="s">
        <v>246</v>
      </c>
      <c r="K138" s="56">
        <v>16</v>
      </c>
      <c r="L138" s="56">
        <v>800</v>
      </c>
      <c r="M138" s="56" t="s">
        <v>245</v>
      </c>
      <c r="N138" s="56" t="s">
        <v>247</v>
      </c>
      <c r="O138" s="56" t="s">
        <v>245</v>
      </c>
      <c r="P138" s="55" t="s">
        <v>326</v>
      </c>
      <c r="Q138" s="55" t="s">
        <v>712</v>
      </c>
      <c r="R138" s="55" t="s">
        <v>713</v>
      </c>
      <c r="S138" s="56" t="s">
        <v>246</v>
      </c>
    </row>
    <row r="139" spans="1:19" ht="21.75" customHeight="1" x14ac:dyDescent="0.3">
      <c r="A139" s="49">
        <v>135</v>
      </c>
      <c r="B139" s="52" t="s">
        <v>699</v>
      </c>
      <c r="C139" s="51" t="s">
        <v>546</v>
      </c>
      <c r="D139" s="51" t="s">
        <v>372</v>
      </c>
      <c r="E139" s="51" t="s">
        <v>307</v>
      </c>
      <c r="F139" s="52" t="s">
        <v>273</v>
      </c>
      <c r="G139" s="52" t="s">
        <v>246</v>
      </c>
      <c r="H139" s="52" t="s">
        <v>246</v>
      </c>
      <c r="I139" s="52" t="s">
        <v>245</v>
      </c>
      <c r="J139" s="52" t="s">
        <v>246</v>
      </c>
      <c r="K139" s="52">
        <v>6</v>
      </c>
      <c r="L139" s="52">
        <v>300</v>
      </c>
      <c r="M139" s="52" t="s">
        <v>246</v>
      </c>
      <c r="N139" s="52" t="s">
        <v>274</v>
      </c>
      <c r="O139" s="52" t="s">
        <v>246</v>
      </c>
      <c r="P139" s="51" t="s">
        <v>248</v>
      </c>
      <c r="Q139" s="51" t="s">
        <v>714</v>
      </c>
      <c r="R139" s="51" t="s">
        <v>715</v>
      </c>
      <c r="S139" s="52" t="s">
        <v>246</v>
      </c>
    </row>
    <row r="140" spans="1:19" ht="21.75" customHeight="1" x14ac:dyDescent="0.3">
      <c r="A140" s="53">
        <v>136</v>
      </c>
      <c r="B140" s="56" t="s">
        <v>699</v>
      </c>
      <c r="C140" s="55" t="s">
        <v>375</v>
      </c>
      <c r="D140" s="55" t="s">
        <v>376</v>
      </c>
      <c r="E140" s="55" t="s">
        <v>307</v>
      </c>
      <c r="F140" s="56" t="s">
        <v>253</v>
      </c>
      <c r="G140" s="56" t="s">
        <v>245</v>
      </c>
      <c r="H140" s="56" t="s">
        <v>245</v>
      </c>
      <c r="I140" s="56" t="s">
        <v>245</v>
      </c>
      <c r="J140" s="56" t="s">
        <v>300</v>
      </c>
      <c r="K140" s="56">
        <v>32</v>
      </c>
      <c r="L140" s="56">
        <v>1600</v>
      </c>
      <c r="M140" s="56" t="s">
        <v>245</v>
      </c>
      <c r="N140" s="56" t="s">
        <v>254</v>
      </c>
      <c r="O140" s="56" t="s">
        <v>245</v>
      </c>
      <c r="P140" s="55" t="s">
        <v>377</v>
      </c>
      <c r="Q140" s="55" t="s">
        <v>716</v>
      </c>
      <c r="R140" s="55" t="s">
        <v>717</v>
      </c>
      <c r="S140" s="56" t="s">
        <v>245</v>
      </c>
    </row>
    <row r="141" spans="1:19" ht="21.75" customHeight="1" x14ac:dyDescent="0.3">
      <c r="A141" s="49">
        <v>137</v>
      </c>
      <c r="B141" s="52" t="s">
        <v>699</v>
      </c>
      <c r="C141" s="51" t="s">
        <v>549</v>
      </c>
      <c r="D141" s="51" t="s">
        <v>463</v>
      </c>
      <c r="E141" s="51" t="s">
        <v>307</v>
      </c>
      <c r="F141" s="52" t="s">
        <v>273</v>
      </c>
      <c r="G141" s="52" t="s">
        <v>246</v>
      </c>
      <c r="H141" s="52" t="s">
        <v>246</v>
      </c>
      <c r="I141" s="52" t="s">
        <v>245</v>
      </c>
      <c r="J141" s="52" t="s">
        <v>246</v>
      </c>
      <c r="K141" s="52">
        <v>6</v>
      </c>
      <c r="L141" s="52">
        <v>300</v>
      </c>
      <c r="M141" s="52" t="s">
        <v>246</v>
      </c>
      <c r="N141" s="52" t="s">
        <v>274</v>
      </c>
      <c r="O141" s="52" t="s">
        <v>246</v>
      </c>
      <c r="P141" s="51" t="s">
        <v>268</v>
      </c>
      <c r="Q141" s="51" t="s">
        <v>718</v>
      </c>
      <c r="R141" s="51" t="s">
        <v>719</v>
      </c>
      <c r="S141" s="52" t="s">
        <v>246</v>
      </c>
    </row>
    <row r="142" spans="1:19" ht="21.75" customHeight="1" x14ac:dyDescent="0.3">
      <c r="A142" s="53">
        <v>138</v>
      </c>
      <c r="B142" s="56" t="s">
        <v>699</v>
      </c>
      <c r="C142" s="55" t="s">
        <v>380</v>
      </c>
      <c r="D142" s="55" t="s">
        <v>381</v>
      </c>
      <c r="E142" s="55" t="s">
        <v>307</v>
      </c>
      <c r="F142" s="56" t="s">
        <v>253</v>
      </c>
      <c r="G142" s="56" t="s">
        <v>245</v>
      </c>
      <c r="H142" s="56" t="s">
        <v>245</v>
      </c>
      <c r="I142" s="56" t="s">
        <v>245</v>
      </c>
      <c r="J142" s="56" t="s">
        <v>246</v>
      </c>
      <c r="K142" s="56">
        <v>28</v>
      </c>
      <c r="L142" s="56">
        <v>1400</v>
      </c>
      <c r="M142" s="56" t="s">
        <v>245</v>
      </c>
      <c r="N142" s="56" t="s">
        <v>247</v>
      </c>
      <c r="O142" s="56" t="s">
        <v>245</v>
      </c>
      <c r="P142" s="55" t="s">
        <v>382</v>
      </c>
      <c r="Q142" s="55" t="s">
        <v>720</v>
      </c>
      <c r="R142" s="55" t="s">
        <v>721</v>
      </c>
      <c r="S142" s="56" t="s">
        <v>245</v>
      </c>
    </row>
    <row r="143" spans="1:19" ht="21.75" customHeight="1" x14ac:dyDescent="0.3">
      <c r="A143" s="49">
        <v>139</v>
      </c>
      <c r="B143" s="52" t="s">
        <v>699</v>
      </c>
      <c r="C143" s="51" t="s">
        <v>552</v>
      </c>
      <c r="D143" s="51" t="s">
        <v>519</v>
      </c>
      <c r="E143" s="51" t="s">
        <v>307</v>
      </c>
      <c r="F143" s="52" t="s">
        <v>253</v>
      </c>
      <c r="G143" s="52" t="s">
        <v>245</v>
      </c>
      <c r="H143" s="52" t="s">
        <v>245</v>
      </c>
      <c r="I143" s="52" t="s">
        <v>245</v>
      </c>
      <c r="J143" s="52" t="s">
        <v>245</v>
      </c>
      <c r="K143" s="52">
        <v>28</v>
      </c>
      <c r="L143" s="52">
        <v>1400</v>
      </c>
      <c r="M143" s="52" t="s">
        <v>245</v>
      </c>
      <c r="N143" s="52" t="s">
        <v>247</v>
      </c>
      <c r="O143" s="52" t="s">
        <v>245</v>
      </c>
      <c r="P143" s="51" t="s">
        <v>491</v>
      </c>
      <c r="Q143" s="51" t="s">
        <v>722</v>
      </c>
      <c r="R143" s="51" t="s">
        <v>723</v>
      </c>
      <c r="S143" s="52" t="s">
        <v>246</v>
      </c>
    </row>
    <row r="144" spans="1:19" ht="21.75" customHeight="1" x14ac:dyDescent="0.3">
      <c r="A144" s="53">
        <v>140</v>
      </c>
      <c r="B144" s="56" t="s">
        <v>699</v>
      </c>
      <c r="C144" s="55" t="s">
        <v>385</v>
      </c>
      <c r="D144" s="55" t="s">
        <v>386</v>
      </c>
      <c r="E144" s="55" t="s">
        <v>307</v>
      </c>
      <c r="F144" s="56" t="s">
        <v>266</v>
      </c>
      <c r="G144" s="56" t="s">
        <v>246</v>
      </c>
      <c r="H144" s="56" t="s">
        <v>245</v>
      </c>
      <c r="I144" s="56" t="s">
        <v>245</v>
      </c>
      <c r="J144" s="56" t="s">
        <v>246</v>
      </c>
      <c r="K144" s="56">
        <v>11</v>
      </c>
      <c r="L144" s="56">
        <v>550</v>
      </c>
      <c r="M144" s="56" t="s">
        <v>245</v>
      </c>
      <c r="N144" s="56" t="s">
        <v>267</v>
      </c>
      <c r="O144" s="56" t="s">
        <v>246</v>
      </c>
      <c r="P144" s="55" t="s">
        <v>279</v>
      </c>
      <c r="Q144" s="55" t="s">
        <v>724</v>
      </c>
      <c r="R144" s="55" t="s">
        <v>725</v>
      </c>
      <c r="S144" s="56" t="s">
        <v>245</v>
      </c>
    </row>
    <row r="145" spans="1:19" ht="21.75" customHeight="1" x14ac:dyDescent="0.3">
      <c r="A145" s="49">
        <v>141</v>
      </c>
      <c r="B145" s="52" t="s">
        <v>699</v>
      </c>
      <c r="C145" s="51" t="s">
        <v>555</v>
      </c>
      <c r="D145" s="51" t="s">
        <v>556</v>
      </c>
      <c r="E145" s="51" t="s">
        <v>307</v>
      </c>
      <c r="F145" s="52" t="s">
        <v>284</v>
      </c>
      <c r="G145" s="52" t="s">
        <v>245</v>
      </c>
      <c r="H145" s="52" t="s">
        <v>245</v>
      </c>
      <c r="I145" s="52" t="s">
        <v>245</v>
      </c>
      <c r="J145" s="52" t="s">
        <v>246</v>
      </c>
      <c r="K145" s="52">
        <v>20</v>
      </c>
      <c r="L145" s="52">
        <v>1000</v>
      </c>
      <c r="M145" s="52" t="s">
        <v>245</v>
      </c>
      <c r="N145" s="52" t="s">
        <v>247</v>
      </c>
      <c r="O145" s="52" t="s">
        <v>245</v>
      </c>
      <c r="P145" s="51" t="s">
        <v>382</v>
      </c>
      <c r="Q145" s="51" t="s">
        <v>726</v>
      </c>
      <c r="R145" s="51" t="s">
        <v>727</v>
      </c>
      <c r="S145" s="52" t="s">
        <v>246</v>
      </c>
    </row>
    <row r="146" spans="1:19" ht="21.75" customHeight="1" x14ac:dyDescent="0.3">
      <c r="A146" s="53">
        <v>142</v>
      </c>
      <c r="B146" s="56" t="s">
        <v>699</v>
      </c>
      <c r="C146" s="55" t="s">
        <v>560</v>
      </c>
      <c r="D146" s="55" t="s">
        <v>560</v>
      </c>
      <c r="E146" s="55" t="s">
        <v>307</v>
      </c>
      <c r="F146" s="56" t="s">
        <v>253</v>
      </c>
      <c r="G146" s="56" t="s">
        <v>245</v>
      </c>
      <c r="H146" s="56" t="s">
        <v>245</v>
      </c>
      <c r="I146" s="56" t="s">
        <v>245</v>
      </c>
      <c r="J146" s="56" t="s">
        <v>245</v>
      </c>
      <c r="K146" s="56">
        <v>30</v>
      </c>
      <c r="L146" s="56">
        <v>1500</v>
      </c>
      <c r="M146" s="56" t="s">
        <v>245</v>
      </c>
      <c r="N146" s="56" t="s">
        <v>254</v>
      </c>
      <c r="O146" s="56" t="s">
        <v>245</v>
      </c>
      <c r="P146" s="55" t="s">
        <v>377</v>
      </c>
      <c r="Q146" s="55" t="s">
        <v>728</v>
      </c>
      <c r="R146" s="55" t="s">
        <v>729</v>
      </c>
      <c r="S146" s="56" t="s">
        <v>246</v>
      </c>
    </row>
    <row r="147" spans="1:19" ht="21.75" customHeight="1" x14ac:dyDescent="0.3">
      <c r="A147" s="49">
        <v>143</v>
      </c>
      <c r="B147" s="52" t="s">
        <v>699</v>
      </c>
      <c r="C147" s="51" t="s">
        <v>563</v>
      </c>
      <c r="D147" s="51" t="s">
        <v>330</v>
      </c>
      <c r="E147" s="51" t="s">
        <v>307</v>
      </c>
      <c r="F147" s="52" t="s">
        <v>284</v>
      </c>
      <c r="G147" s="52" t="s">
        <v>245</v>
      </c>
      <c r="H147" s="52" t="s">
        <v>245</v>
      </c>
      <c r="I147" s="52" t="s">
        <v>246</v>
      </c>
      <c r="J147" s="52" t="s">
        <v>246</v>
      </c>
      <c r="K147" s="52">
        <v>15</v>
      </c>
      <c r="L147" s="52">
        <v>750</v>
      </c>
      <c r="M147" s="52" t="s">
        <v>246</v>
      </c>
      <c r="N147" s="52" t="s">
        <v>274</v>
      </c>
      <c r="O147" s="52" t="s">
        <v>245</v>
      </c>
      <c r="P147" s="51" t="s">
        <v>290</v>
      </c>
      <c r="Q147" s="51" t="s">
        <v>730</v>
      </c>
      <c r="R147" s="51" t="s">
        <v>731</v>
      </c>
      <c r="S147" s="52" t="s">
        <v>246</v>
      </c>
    </row>
    <row r="148" spans="1:19" ht="21.75" customHeight="1" x14ac:dyDescent="0.3">
      <c r="A148" s="53">
        <v>144</v>
      </c>
      <c r="B148" s="56" t="s">
        <v>699</v>
      </c>
      <c r="C148" s="55" t="s">
        <v>389</v>
      </c>
      <c r="D148" s="55" t="s">
        <v>390</v>
      </c>
      <c r="E148" s="55" t="s">
        <v>307</v>
      </c>
      <c r="F148" s="56" t="s">
        <v>253</v>
      </c>
      <c r="G148" s="56" t="s">
        <v>245</v>
      </c>
      <c r="H148" s="56" t="s">
        <v>245</v>
      </c>
      <c r="I148" s="56" t="s">
        <v>245</v>
      </c>
      <c r="J148" s="56" t="s">
        <v>245</v>
      </c>
      <c r="K148" s="56">
        <v>26</v>
      </c>
      <c r="L148" s="56">
        <v>1300</v>
      </c>
      <c r="M148" s="56" t="s">
        <v>245</v>
      </c>
      <c r="N148" s="56" t="s">
        <v>247</v>
      </c>
      <c r="O148" s="56" t="s">
        <v>245</v>
      </c>
      <c r="P148" s="55" t="s">
        <v>391</v>
      </c>
      <c r="Q148" s="55" t="s">
        <v>732</v>
      </c>
      <c r="R148" s="55" t="s">
        <v>733</v>
      </c>
      <c r="S148" s="56" t="s">
        <v>245</v>
      </c>
    </row>
    <row r="149" spans="1:19" ht="21.75" customHeight="1" x14ac:dyDescent="0.3">
      <c r="A149" s="49">
        <v>145</v>
      </c>
      <c r="B149" s="52" t="s">
        <v>699</v>
      </c>
      <c r="C149" s="51" t="s">
        <v>394</v>
      </c>
      <c r="D149" s="51" t="s">
        <v>395</v>
      </c>
      <c r="E149" s="51" t="s">
        <v>307</v>
      </c>
      <c r="F149" s="52" t="s">
        <v>253</v>
      </c>
      <c r="G149" s="52" t="s">
        <v>245</v>
      </c>
      <c r="H149" s="52" t="s">
        <v>245</v>
      </c>
      <c r="I149" s="52" t="s">
        <v>245</v>
      </c>
      <c r="J149" s="52" t="s">
        <v>300</v>
      </c>
      <c r="K149" s="52">
        <v>24</v>
      </c>
      <c r="L149" s="52">
        <v>1200</v>
      </c>
      <c r="M149" s="52" t="s">
        <v>245</v>
      </c>
      <c r="N149" s="52" t="s">
        <v>247</v>
      </c>
      <c r="O149" s="52" t="s">
        <v>245</v>
      </c>
      <c r="P149" s="51" t="s">
        <v>396</v>
      </c>
      <c r="Q149" s="51" t="s">
        <v>734</v>
      </c>
      <c r="R149" s="51" t="s">
        <v>735</v>
      </c>
      <c r="S149" s="52" t="s">
        <v>245</v>
      </c>
    </row>
    <row r="150" spans="1:19" ht="21.75" customHeight="1" x14ac:dyDescent="0.3">
      <c r="A150" s="53">
        <v>146</v>
      </c>
      <c r="B150" s="56" t="s">
        <v>699</v>
      </c>
      <c r="C150" s="55" t="s">
        <v>566</v>
      </c>
      <c r="D150" s="55" t="s">
        <v>414</v>
      </c>
      <c r="E150" s="55" t="s">
        <v>307</v>
      </c>
      <c r="F150" s="56" t="s">
        <v>284</v>
      </c>
      <c r="G150" s="56" t="s">
        <v>245</v>
      </c>
      <c r="H150" s="56" t="s">
        <v>245</v>
      </c>
      <c r="I150" s="56" t="s">
        <v>245</v>
      </c>
      <c r="J150" s="56" t="s">
        <v>246</v>
      </c>
      <c r="K150" s="56">
        <v>18</v>
      </c>
      <c r="L150" s="56">
        <v>900</v>
      </c>
      <c r="M150" s="56" t="s">
        <v>245</v>
      </c>
      <c r="N150" s="56" t="s">
        <v>247</v>
      </c>
      <c r="O150" s="56" t="s">
        <v>245</v>
      </c>
      <c r="P150" s="55" t="s">
        <v>317</v>
      </c>
      <c r="Q150" s="55" t="s">
        <v>736</v>
      </c>
      <c r="R150" s="55" t="s">
        <v>737</v>
      </c>
      <c r="S150" s="56" t="s">
        <v>245</v>
      </c>
    </row>
    <row r="151" spans="1:19" ht="21.75" customHeight="1" x14ac:dyDescent="0.3">
      <c r="A151" s="49">
        <v>147</v>
      </c>
      <c r="B151" s="52" t="s">
        <v>699</v>
      </c>
      <c r="C151" s="51" t="s">
        <v>466</v>
      </c>
      <c r="D151" s="51" t="s">
        <v>467</v>
      </c>
      <c r="E151" s="51" t="s">
        <v>307</v>
      </c>
      <c r="F151" s="52" t="s">
        <v>284</v>
      </c>
      <c r="G151" s="52" t="s">
        <v>245</v>
      </c>
      <c r="H151" s="52" t="s">
        <v>245</v>
      </c>
      <c r="I151" s="52" t="s">
        <v>245</v>
      </c>
      <c r="J151" s="52" t="s">
        <v>245</v>
      </c>
      <c r="K151" s="52">
        <v>22</v>
      </c>
      <c r="L151" s="52">
        <v>1100</v>
      </c>
      <c r="M151" s="52" t="s">
        <v>245</v>
      </c>
      <c r="N151" s="52" t="s">
        <v>247</v>
      </c>
      <c r="O151" s="52" t="s">
        <v>245</v>
      </c>
      <c r="P151" s="51" t="s">
        <v>569</v>
      </c>
      <c r="Q151" s="51" t="s">
        <v>738</v>
      </c>
      <c r="R151" s="51" t="s">
        <v>739</v>
      </c>
      <c r="S151" s="52" t="s">
        <v>246</v>
      </c>
    </row>
    <row r="152" spans="1:19" ht="21.75" customHeight="1" x14ac:dyDescent="0.3">
      <c r="A152" s="53">
        <v>148</v>
      </c>
      <c r="B152" s="56" t="s">
        <v>699</v>
      </c>
      <c r="C152" s="55" t="s">
        <v>572</v>
      </c>
      <c r="D152" s="55" t="s">
        <v>573</v>
      </c>
      <c r="E152" s="55" t="s">
        <v>307</v>
      </c>
      <c r="F152" s="56" t="s">
        <v>253</v>
      </c>
      <c r="G152" s="56" t="s">
        <v>245</v>
      </c>
      <c r="H152" s="56" t="s">
        <v>245</v>
      </c>
      <c r="I152" s="56" t="s">
        <v>245</v>
      </c>
      <c r="J152" s="56" t="s">
        <v>245</v>
      </c>
      <c r="K152" s="56">
        <v>26</v>
      </c>
      <c r="L152" s="56">
        <v>1300</v>
      </c>
      <c r="M152" s="56" t="s">
        <v>245</v>
      </c>
      <c r="N152" s="56" t="s">
        <v>247</v>
      </c>
      <c r="O152" s="56" t="s">
        <v>245</v>
      </c>
      <c r="P152" s="55" t="s">
        <v>377</v>
      </c>
      <c r="Q152" s="55" t="s">
        <v>740</v>
      </c>
      <c r="R152" s="55" t="s">
        <v>741</v>
      </c>
      <c r="S152" s="56" t="s">
        <v>245</v>
      </c>
    </row>
    <row r="153" spans="1:19" ht="21.75" customHeight="1" x14ac:dyDescent="0.3">
      <c r="A153" s="49">
        <v>149</v>
      </c>
      <c r="B153" s="52" t="s">
        <v>699</v>
      </c>
      <c r="C153" s="51" t="s">
        <v>576</v>
      </c>
      <c r="D153" s="51" t="s">
        <v>577</v>
      </c>
      <c r="E153" s="51" t="s">
        <v>307</v>
      </c>
      <c r="F153" s="52" t="s">
        <v>284</v>
      </c>
      <c r="G153" s="52" t="s">
        <v>245</v>
      </c>
      <c r="H153" s="52" t="s">
        <v>245</v>
      </c>
      <c r="I153" s="52" t="s">
        <v>246</v>
      </c>
      <c r="J153" s="52" t="s">
        <v>246</v>
      </c>
      <c r="K153" s="52">
        <v>16</v>
      </c>
      <c r="L153" s="52">
        <v>800</v>
      </c>
      <c r="M153" s="52" t="s">
        <v>246</v>
      </c>
      <c r="N153" s="52" t="s">
        <v>274</v>
      </c>
      <c r="O153" s="52" t="s">
        <v>245</v>
      </c>
      <c r="P153" s="51" t="s">
        <v>290</v>
      </c>
      <c r="Q153" s="51" t="s">
        <v>742</v>
      </c>
      <c r="R153" s="51" t="s">
        <v>743</v>
      </c>
      <c r="S153" s="52" t="s">
        <v>246</v>
      </c>
    </row>
    <row r="154" spans="1:19" ht="21.75" customHeight="1" x14ac:dyDescent="0.3">
      <c r="A154" s="53">
        <v>150</v>
      </c>
      <c r="B154" s="56" t="s">
        <v>699</v>
      </c>
      <c r="C154" s="55" t="s">
        <v>581</v>
      </c>
      <c r="D154" s="55" t="s">
        <v>582</v>
      </c>
      <c r="E154" s="55" t="s">
        <v>307</v>
      </c>
      <c r="F154" s="56" t="s">
        <v>284</v>
      </c>
      <c r="G154" s="56" t="s">
        <v>245</v>
      </c>
      <c r="H154" s="56" t="s">
        <v>245</v>
      </c>
      <c r="I154" s="56" t="s">
        <v>245</v>
      </c>
      <c r="J154" s="56" t="s">
        <v>246</v>
      </c>
      <c r="K154" s="56">
        <v>20</v>
      </c>
      <c r="L154" s="56">
        <v>1000</v>
      </c>
      <c r="M154" s="56" t="s">
        <v>245</v>
      </c>
      <c r="N154" s="56" t="s">
        <v>247</v>
      </c>
      <c r="O154" s="56" t="s">
        <v>245</v>
      </c>
      <c r="P154" s="55" t="s">
        <v>382</v>
      </c>
      <c r="Q154" s="55" t="s">
        <v>744</v>
      </c>
      <c r="R154" s="55" t="s">
        <v>745</v>
      </c>
      <c r="S154" s="56" t="s">
        <v>246</v>
      </c>
    </row>
    <row r="155" spans="1:19" ht="21.75" customHeight="1" x14ac:dyDescent="0.3">
      <c r="A155" s="49">
        <v>151</v>
      </c>
      <c r="B155" s="52" t="s">
        <v>699</v>
      </c>
      <c r="C155" s="51" t="s">
        <v>585</v>
      </c>
      <c r="D155" s="51" t="s">
        <v>586</v>
      </c>
      <c r="E155" s="51" t="s">
        <v>307</v>
      </c>
      <c r="F155" s="52" t="s">
        <v>284</v>
      </c>
      <c r="G155" s="52" t="s">
        <v>246</v>
      </c>
      <c r="H155" s="52" t="s">
        <v>245</v>
      </c>
      <c r="I155" s="52" t="s">
        <v>245</v>
      </c>
      <c r="J155" s="52" t="s">
        <v>245</v>
      </c>
      <c r="K155" s="52">
        <v>18</v>
      </c>
      <c r="L155" s="52">
        <v>900</v>
      </c>
      <c r="M155" s="52" t="s">
        <v>245</v>
      </c>
      <c r="N155" s="52" t="s">
        <v>267</v>
      </c>
      <c r="O155" s="52" t="s">
        <v>246</v>
      </c>
      <c r="P155" s="51" t="s">
        <v>312</v>
      </c>
      <c r="Q155" s="51" t="s">
        <v>746</v>
      </c>
      <c r="R155" s="51" t="s">
        <v>747</v>
      </c>
      <c r="S155" s="52" t="s">
        <v>245</v>
      </c>
    </row>
    <row r="156" spans="1:19" ht="21.75" customHeight="1" x14ac:dyDescent="0.3">
      <c r="A156" s="53">
        <v>152</v>
      </c>
      <c r="B156" s="56" t="s">
        <v>699</v>
      </c>
      <c r="C156" s="55" t="s">
        <v>589</v>
      </c>
      <c r="D156" s="55" t="s">
        <v>590</v>
      </c>
      <c r="E156" s="55" t="s">
        <v>307</v>
      </c>
      <c r="F156" s="56" t="s">
        <v>284</v>
      </c>
      <c r="G156" s="56" t="s">
        <v>245</v>
      </c>
      <c r="H156" s="56" t="s">
        <v>245</v>
      </c>
      <c r="I156" s="56" t="s">
        <v>245</v>
      </c>
      <c r="J156" s="56" t="s">
        <v>245</v>
      </c>
      <c r="K156" s="56">
        <v>24</v>
      </c>
      <c r="L156" s="56">
        <v>1200</v>
      </c>
      <c r="M156" s="56" t="s">
        <v>245</v>
      </c>
      <c r="N156" s="56" t="s">
        <v>247</v>
      </c>
      <c r="O156" s="56" t="s">
        <v>245</v>
      </c>
      <c r="P156" s="55" t="s">
        <v>377</v>
      </c>
      <c r="Q156" s="55" t="s">
        <v>748</v>
      </c>
      <c r="R156" s="55" t="s">
        <v>749</v>
      </c>
      <c r="S156" s="56" t="s">
        <v>246</v>
      </c>
    </row>
    <row r="157" spans="1:19" ht="21.75" customHeight="1" x14ac:dyDescent="0.3">
      <c r="A157" s="49">
        <v>153</v>
      </c>
      <c r="B157" s="52" t="s">
        <v>699</v>
      </c>
      <c r="C157" s="51" t="s">
        <v>494</v>
      </c>
      <c r="D157" s="51" t="s">
        <v>495</v>
      </c>
      <c r="E157" s="51" t="s">
        <v>243</v>
      </c>
      <c r="F157" s="52" t="s">
        <v>284</v>
      </c>
      <c r="G157" s="52" t="s">
        <v>246</v>
      </c>
      <c r="H157" s="52" t="s">
        <v>246</v>
      </c>
      <c r="I157" s="52" t="s">
        <v>245</v>
      </c>
      <c r="J157" s="52" t="s">
        <v>246</v>
      </c>
      <c r="K157" s="52">
        <v>8</v>
      </c>
      <c r="L157" s="52">
        <v>400</v>
      </c>
      <c r="M157" s="52" t="s">
        <v>246</v>
      </c>
      <c r="N157" s="52" t="s">
        <v>274</v>
      </c>
      <c r="O157" s="52" t="s">
        <v>246</v>
      </c>
      <c r="P157" s="51" t="s">
        <v>268</v>
      </c>
      <c r="Q157" s="51" t="s">
        <v>750</v>
      </c>
      <c r="R157" s="51" t="s">
        <v>751</v>
      </c>
      <c r="S157" s="52" t="s">
        <v>245</v>
      </c>
    </row>
  </sheetData>
  <mergeCells count="3">
    <mergeCell ref="A1:S1"/>
    <mergeCell ref="A2:S2"/>
    <mergeCell ref="A3:S3"/>
  </mergeCells>
  <dataValidations count="4">
    <dataValidation type="list" allowBlank="1" sqref="F5:F54" xr:uid="{00000000-0002-0000-0200-000000000000}">
      <formula1>"General Store,Supermarket,Dairy Shop,Bakery,Hotel/Restaurant,Chemist,Other"</formula1>
      <formula2>0</formula2>
    </dataValidation>
    <dataValidation type="list" allowBlank="1" sqref="M5:M54 O5:O54 S5:S54" xr:uid="{00000000-0002-0000-0200-000001000000}">
      <formula1>"Yes,No"</formula1>
      <formula2>0</formula2>
    </dataValidation>
    <dataValidation type="list" allowBlank="1" sqref="N5:N54" xr:uid="{00000000-0002-0000-0200-000002000000}">
      <formula1>"Amul,Competitor,Own,No Fridge"</formula1>
      <formula2>0</formula2>
    </dataValidation>
    <dataValidation type="list" allowBlank="1" sqref="G5:J54" xr:uid="{00000000-0002-0000-0200-000003000000}">
      <formula1>"Yes,No,Partial"</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5A623"/>
  </sheetPr>
  <dimension ref="A1:B36"/>
  <sheetViews>
    <sheetView showGridLines="0" topLeftCell="A12" zoomScaleNormal="100" workbookViewId="0">
      <selection sqref="A1:B1"/>
    </sheetView>
  </sheetViews>
  <sheetFormatPr defaultColWidth="8.6640625" defaultRowHeight="14.4" x14ac:dyDescent="0.3"/>
  <cols>
    <col min="1" max="1" width="28" customWidth="1"/>
    <col min="2" max="2" width="60" customWidth="1"/>
  </cols>
  <sheetData>
    <row r="1" spans="1:2" ht="31.5" customHeight="1" x14ac:dyDescent="0.3">
      <c r="A1" s="4" t="s">
        <v>752</v>
      </c>
      <c r="B1" s="4"/>
    </row>
    <row r="2" spans="1:2" ht="19.5" customHeight="1" x14ac:dyDescent="0.3">
      <c r="A2" s="142" t="s">
        <v>753</v>
      </c>
      <c r="B2" s="142"/>
    </row>
    <row r="3" spans="1:2" ht="3.75" customHeight="1" x14ac:dyDescent="0.3">
      <c r="A3" s="141"/>
      <c r="B3" s="141"/>
    </row>
    <row r="4" spans="1:2" ht="21.75" customHeight="1" x14ac:dyDescent="0.3">
      <c r="A4" s="57" t="s">
        <v>754</v>
      </c>
      <c r="B4" s="58" t="s">
        <v>755</v>
      </c>
    </row>
    <row r="5" spans="1:2" ht="21.75" customHeight="1" x14ac:dyDescent="0.3">
      <c r="A5" s="57" t="s">
        <v>756</v>
      </c>
      <c r="B5" s="58" t="s">
        <v>243</v>
      </c>
    </row>
    <row r="6" spans="1:2" ht="21.75" customHeight="1" x14ac:dyDescent="0.3">
      <c r="A6" s="57" t="s">
        <v>757</v>
      </c>
      <c r="B6" s="58" t="s">
        <v>758</v>
      </c>
    </row>
    <row r="7" spans="1:2" ht="21.75" customHeight="1" x14ac:dyDescent="0.3">
      <c r="A7" s="57" t="s">
        <v>759</v>
      </c>
      <c r="B7" s="58" t="s">
        <v>760</v>
      </c>
    </row>
    <row r="8" spans="1:2" ht="21.75" customHeight="1" x14ac:dyDescent="0.3">
      <c r="A8" s="57" t="s">
        <v>761</v>
      </c>
      <c r="B8" s="58" t="s">
        <v>762</v>
      </c>
    </row>
    <row r="9" spans="1:2" ht="21.75" customHeight="1" x14ac:dyDescent="0.3">
      <c r="A9" s="59"/>
      <c r="B9" s="59"/>
    </row>
    <row r="10" spans="1:2" ht="21.75" customHeight="1" x14ac:dyDescent="0.3">
      <c r="A10" s="143" t="s">
        <v>763</v>
      </c>
      <c r="B10" s="143"/>
    </row>
    <row r="11" spans="1:2" ht="21.75" customHeight="1" x14ac:dyDescent="0.3">
      <c r="A11" s="57" t="s">
        <v>764</v>
      </c>
      <c r="B11" s="58" t="s">
        <v>765</v>
      </c>
    </row>
    <row r="12" spans="1:2" ht="21.75" customHeight="1" x14ac:dyDescent="0.3">
      <c r="A12" s="57" t="s">
        <v>766</v>
      </c>
      <c r="B12" s="58" t="s">
        <v>767</v>
      </c>
    </row>
    <row r="13" spans="1:2" ht="21.75" customHeight="1" x14ac:dyDescent="0.3">
      <c r="A13" s="57" t="s">
        <v>768</v>
      </c>
      <c r="B13" s="58" t="s">
        <v>769</v>
      </c>
    </row>
    <row r="14" spans="1:2" ht="21.75" customHeight="1" x14ac:dyDescent="0.3">
      <c r="A14" s="59"/>
      <c r="B14" s="59"/>
    </row>
    <row r="15" spans="1:2" ht="21.75" customHeight="1" x14ac:dyDescent="0.3">
      <c r="A15" s="143" t="s">
        <v>770</v>
      </c>
      <c r="B15" s="143"/>
    </row>
    <row r="16" spans="1:2" ht="21.75" customHeight="1" x14ac:dyDescent="0.3">
      <c r="A16" s="57" t="s">
        <v>771</v>
      </c>
      <c r="B16" s="58" t="s">
        <v>772</v>
      </c>
    </row>
    <row r="17" spans="1:2" ht="21.75" customHeight="1" x14ac:dyDescent="0.3">
      <c r="A17" s="57" t="s">
        <v>773</v>
      </c>
      <c r="B17" s="58" t="s">
        <v>774</v>
      </c>
    </row>
    <row r="18" spans="1:2" ht="21.75" customHeight="1" x14ac:dyDescent="0.3">
      <c r="A18" s="57" t="s">
        <v>775</v>
      </c>
      <c r="B18" s="58" t="s">
        <v>776</v>
      </c>
    </row>
    <row r="19" spans="1:2" ht="21.75" customHeight="1" x14ac:dyDescent="0.3">
      <c r="A19" s="59"/>
      <c r="B19" s="59"/>
    </row>
    <row r="20" spans="1:2" ht="21.75" customHeight="1" x14ac:dyDescent="0.3">
      <c r="A20" s="143" t="s">
        <v>777</v>
      </c>
      <c r="B20" s="143"/>
    </row>
    <row r="21" spans="1:2" ht="21.75" customHeight="1" x14ac:dyDescent="0.3">
      <c r="A21" s="57" t="s">
        <v>778</v>
      </c>
      <c r="B21" s="58" t="s">
        <v>779</v>
      </c>
    </row>
    <row r="22" spans="1:2" ht="21.75" customHeight="1" x14ac:dyDescent="0.3">
      <c r="A22" s="57" t="s">
        <v>780</v>
      </c>
      <c r="B22" s="58" t="s">
        <v>781</v>
      </c>
    </row>
    <row r="23" spans="1:2" ht="21.75" customHeight="1" x14ac:dyDescent="0.3">
      <c r="A23" s="59"/>
      <c r="B23" s="59"/>
    </row>
    <row r="24" spans="1:2" ht="21.75" customHeight="1" x14ac:dyDescent="0.3">
      <c r="A24" s="143" t="s">
        <v>782</v>
      </c>
      <c r="B24" s="143"/>
    </row>
    <row r="25" spans="1:2" ht="21.75" customHeight="1" x14ac:dyDescent="0.3">
      <c r="A25" s="57" t="s">
        <v>783</v>
      </c>
      <c r="B25" s="58" t="s">
        <v>784</v>
      </c>
    </row>
    <row r="26" spans="1:2" ht="21.75" customHeight="1" x14ac:dyDescent="0.3">
      <c r="A26" s="57" t="s">
        <v>785</v>
      </c>
      <c r="B26" s="58" t="s">
        <v>786</v>
      </c>
    </row>
    <row r="27" spans="1:2" ht="21.75" customHeight="1" x14ac:dyDescent="0.3">
      <c r="A27" s="59"/>
      <c r="B27" s="59"/>
    </row>
    <row r="28" spans="1:2" ht="21.75" customHeight="1" x14ac:dyDescent="0.3">
      <c r="A28" s="143" t="s">
        <v>787</v>
      </c>
      <c r="B28" s="143"/>
    </row>
    <row r="29" spans="1:2" ht="21.75" customHeight="1" x14ac:dyDescent="0.3">
      <c r="A29" s="57" t="s">
        <v>788</v>
      </c>
      <c r="B29" s="58" t="s">
        <v>789</v>
      </c>
    </row>
    <row r="30" spans="1:2" ht="21.75" customHeight="1" x14ac:dyDescent="0.3">
      <c r="A30" s="57" t="s">
        <v>790</v>
      </c>
      <c r="B30" s="58" t="s">
        <v>791</v>
      </c>
    </row>
    <row r="31" spans="1:2" ht="21.75" customHeight="1" x14ac:dyDescent="0.3">
      <c r="A31" s="57" t="s">
        <v>792</v>
      </c>
      <c r="B31" s="58" t="s">
        <v>793</v>
      </c>
    </row>
    <row r="32" spans="1:2" ht="21.75" customHeight="1" x14ac:dyDescent="0.3">
      <c r="A32" s="59"/>
      <c r="B32" s="59"/>
    </row>
    <row r="33" spans="1:2" ht="21.75" customHeight="1" x14ac:dyDescent="0.3">
      <c r="A33" s="143" t="s">
        <v>794</v>
      </c>
      <c r="B33" s="143"/>
    </row>
    <row r="34" spans="1:2" ht="21.75" customHeight="1" x14ac:dyDescent="0.3">
      <c r="A34" s="57" t="s">
        <v>795</v>
      </c>
      <c r="B34" s="58" t="s">
        <v>796</v>
      </c>
    </row>
    <row r="35" spans="1:2" ht="21.75" customHeight="1" x14ac:dyDescent="0.3">
      <c r="A35" s="57" t="s">
        <v>797</v>
      </c>
      <c r="B35" s="58" t="s">
        <v>798</v>
      </c>
    </row>
    <row r="36" spans="1:2" ht="21.75" customHeight="1" x14ac:dyDescent="0.3">
      <c r="A36" s="57" t="s">
        <v>799</v>
      </c>
      <c r="B36" s="58" t="s">
        <v>800</v>
      </c>
    </row>
  </sheetData>
  <mergeCells count="9">
    <mergeCell ref="A20:B20"/>
    <mergeCell ref="A24:B24"/>
    <mergeCell ref="A28:B28"/>
    <mergeCell ref="A33:B33"/>
    <mergeCell ref="A1:B1"/>
    <mergeCell ref="A2:B2"/>
    <mergeCell ref="A3:B3"/>
    <mergeCell ref="A10:B10"/>
    <mergeCell ref="A15:B1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5A32"/>
  </sheetPr>
  <dimension ref="A1:H18"/>
  <sheetViews>
    <sheetView showGridLines="0" zoomScaleNormal="100" workbookViewId="0">
      <selection sqref="A1:H1"/>
    </sheetView>
  </sheetViews>
  <sheetFormatPr defaultColWidth="8.6640625" defaultRowHeight="14.4" x14ac:dyDescent="0.3"/>
  <cols>
    <col min="1" max="1" width="17" bestFit="1" customWidth="1"/>
    <col min="2" max="5" width="12" customWidth="1"/>
    <col min="6" max="6" width="7.109375" bestFit="1" customWidth="1"/>
    <col min="7" max="7" width="9.88671875" bestFit="1" customWidth="1"/>
    <col min="8" max="8" width="69.6640625" bestFit="1" customWidth="1"/>
  </cols>
  <sheetData>
    <row r="1" spans="1:8" ht="31.5" customHeight="1" x14ac:dyDescent="0.3">
      <c r="A1" s="4" t="s">
        <v>801</v>
      </c>
      <c r="B1" s="4"/>
      <c r="C1" s="4"/>
      <c r="D1" s="4"/>
      <c r="E1" s="4"/>
      <c r="F1" s="4"/>
      <c r="G1" s="4"/>
      <c r="H1" s="4"/>
    </row>
    <row r="2" spans="1:8" ht="18" customHeight="1" x14ac:dyDescent="0.3">
      <c r="A2" s="142" t="s">
        <v>802</v>
      </c>
      <c r="B2" s="142"/>
      <c r="C2" s="142"/>
      <c r="D2" s="142"/>
      <c r="E2" s="142"/>
      <c r="F2" s="142"/>
      <c r="G2" s="142"/>
      <c r="H2" s="142"/>
    </row>
    <row r="3" spans="1:8" ht="3.75" customHeight="1" x14ac:dyDescent="0.3">
      <c r="A3" s="141"/>
      <c r="B3" s="141"/>
      <c r="C3" s="141"/>
      <c r="D3" s="141"/>
      <c r="E3" s="141"/>
      <c r="F3" s="141"/>
      <c r="G3" s="141"/>
      <c r="H3" s="141"/>
    </row>
    <row r="4" spans="1:8" ht="36" customHeight="1" x14ac:dyDescent="0.3">
      <c r="A4" s="60" t="s">
        <v>64</v>
      </c>
      <c r="B4" s="60" t="s">
        <v>803</v>
      </c>
      <c r="C4" s="60" t="s">
        <v>804</v>
      </c>
      <c r="D4" s="60" t="s">
        <v>805</v>
      </c>
      <c r="E4" s="60" t="s">
        <v>806</v>
      </c>
      <c r="F4" s="60" t="s">
        <v>807</v>
      </c>
      <c r="G4" s="60" t="s">
        <v>808</v>
      </c>
      <c r="H4" s="60" t="s">
        <v>71</v>
      </c>
    </row>
    <row r="5" spans="1:8" ht="21.75" customHeight="1" x14ac:dyDescent="0.3">
      <c r="A5" s="61" t="s">
        <v>809</v>
      </c>
      <c r="B5" s="62">
        <v>22</v>
      </c>
      <c r="C5" s="62">
        <v>430</v>
      </c>
      <c r="D5" s="62">
        <v>84</v>
      </c>
      <c r="E5" s="62">
        <v>170</v>
      </c>
      <c r="F5" s="62">
        <v>55</v>
      </c>
      <c r="G5" s="62">
        <v>30</v>
      </c>
      <c r="H5" s="63" t="s">
        <v>810</v>
      </c>
    </row>
    <row r="6" spans="1:8" ht="21.75" customHeight="1" x14ac:dyDescent="0.3">
      <c r="A6" s="64" t="s">
        <v>811</v>
      </c>
      <c r="B6" s="65">
        <v>36</v>
      </c>
      <c r="C6" s="65">
        <v>710</v>
      </c>
      <c r="D6" s="65">
        <v>140</v>
      </c>
      <c r="E6" s="65">
        <v>280</v>
      </c>
      <c r="F6" s="65">
        <v>96</v>
      </c>
      <c r="G6" s="65">
        <v>42</v>
      </c>
      <c r="H6" s="66" t="s">
        <v>812</v>
      </c>
    </row>
    <row r="7" spans="1:8" ht="21.75" customHeight="1" x14ac:dyDescent="0.3">
      <c r="A7" s="61" t="s">
        <v>813</v>
      </c>
      <c r="B7" s="62">
        <v>36</v>
      </c>
      <c r="C7" s="62">
        <v>700</v>
      </c>
      <c r="D7" s="62">
        <v>136</v>
      </c>
      <c r="E7" s="62">
        <v>272</v>
      </c>
      <c r="F7" s="62">
        <v>94</v>
      </c>
      <c r="G7" s="62">
        <v>38</v>
      </c>
      <c r="H7" s="63" t="s">
        <v>814</v>
      </c>
    </row>
    <row r="8" spans="1:8" ht="21.75" customHeight="1" x14ac:dyDescent="0.3">
      <c r="A8" s="64" t="s">
        <v>815</v>
      </c>
      <c r="B8" s="65">
        <v>31</v>
      </c>
      <c r="C8" s="65">
        <v>640</v>
      </c>
      <c r="D8" s="65">
        <v>124</v>
      </c>
      <c r="E8" s="65">
        <v>254</v>
      </c>
      <c r="F8" s="65">
        <v>86</v>
      </c>
      <c r="G8" s="65">
        <v>30</v>
      </c>
      <c r="H8" s="66" t="s">
        <v>816</v>
      </c>
    </row>
    <row r="9" spans="1:8" ht="21.75" customHeight="1" x14ac:dyDescent="0.3">
      <c r="A9" s="61" t="s">
        <v>817</v>
      </c>
      <c r="B9" s="62">
        <v>51</v>
      </c>
      <c r="C9" s="62">
        <v>1020</v>
      </c>
      <c r="D9" s="62">
        <v>200</v>
      </c>
      <c r="E9" s="62">
        <v>398</v>
      </c>
      <c r="F9" s="62">
        <v>136</v>
      </c>
      <c r="G9" s="62">
        <v>52</v>
      </c>
      <c r="H9" s="63" t="s">
        <v>818</v>
      </c>
    </row>
    <row r="10" spans="1:8" ht="21.75" customHeight="1" x14ac:dyDescent="0.3">
      <c r="A10" s="67"/>
      <c r="B10" s="52"/>
      <c r="C10" s="52"/>
      <c r="D10" s="52"/>
      <c r="E10" s="52"/>
      <c r="F10" s="52"/>
      <c r="G10" s="52"/>
      <c r="H10" s="51"/>
    </row>
    <row r="11" spans="1:8" ht="21.75" customHeight="1" x14ac:dyDescent="0.3">
      <c r="A11" s="67"/>
      <c r="B11" s="52"/>
      <c r="C11" s="52"/>
      <c r="D11" s="52"/>
      <c r="E11" s="52"/>
      <c r="F11" s="52"/>
      <c r="G11" s="52"/>
      <c r="H11" s="51"/>
    </row>
    <row r="12" spans="1:8" ht="21.75" customHeight="1" x14ac:dyDescent="0.3">
      <c r="A12" s="67"/>
      <c r="B12" s="52"/>
      <c r="C12" s="52"/>
      <c r="D12" s="52"/>
      <c r="E12" s="52"/>
      <c r="F12" s="52"/>
      <c r="G12" s="52"/>
      <c r="H12" s="51"/>
    </row>
    <row r="13" spans="1:8" ht="21.75" customHeight="1" x14ac:dyDescent="0.3">
      <c r="A13" s="67"/>
      <c r="B13" s="52"/>
      <c r="C13" s="52"/>
      <c r="D13" s="52"/>
      <c r="E13" s="52"/>
      <c r="F13" s="52"/>
      <c r="G13" s="52"/>
      <c r="H13" s="51"/>
    </row>
    <row r="14" spans="1:8" ht="21.75" customHeight="1" x14ac:dyDescent="0.3">
      <c r="A14" s="67"/>
      <c r="B14" s="52"/>
      <c r="C14" s="52"/>
      <c r="D14" s="52"/>
      <c r="E14" s="52"/>
      <c r="F14" s="52"/>
      <c r="G14" s="52"/>
      <c r="H14" s="51"/>
    </row>
    <row r="15" spans="1:8" ht="21.75" customHeight="1" x14ac:dyDescent="0.3">
      <c r="A15" s="67"/>
      <c r="B15" s="52"/>
      <c r="C15" s="52"/>
      <c r="D15" s="52"/>
      <c r="E15" s="52"/>
      <c r="F15" s="52"/>
      <c r="G15" s="52"/>
      <c r="H15" s="51"/>
    </row>
    <row r="16" spans="1:8" ht="21.75" customHeight="1" x14ac:dyDescent="0.3">
      <c r="A16" s="67"/>
      <c r="B16" s="52"/>
      <c r="C16" s="52"/>
      <c r="D16" s="52"/>
      <c r="E16" s="52"/>
      <c r="F16" s="52"/>
      <c r="G16" s="52"/>
      <c r="H16" s="51"/>
    </row>
    <row r="17" spans="1:8" ht="21.75" customHeight="1" x14ac:dyDescent="0.3">
      <c r="A17" s="67"/>
      <c r="B17" s="52"/>
      <c r="C17" s="52"/>
      <c r="D17" s="52"/>
      <c r="E17" s="52"/>
      <c r="F17" s="52"/>
      <c r="G17" s="52"/>
      <c r="H17" s="51"/>
    </row>
    <row r="18" spans="1:8" ht="24" customHeight="1" x14ac:dyDescent="0.3">
      <c r="A18" s="68" t="s">
        <v>819</v>
      </c>
      <c r="B18" s="68">
        <f t="shared" ref="B18:G18" si="0">SUM(B5:B17)</f>
        <v>176</v>
      </c>
      <c r="C18" s="68">
        <f t="shared" si="0"/>
        <v>3500</v>
      </c>
      <c r="D18" s="68">
        <f t="shared" si="0"/>
        <v>684</v>
      </c>
      <c r="E18" s="68">
        <f t="shared" si="0"/>
        <v>1374</v>
      </c>
      <c r="F18" s="68">
        <f t="shared" si="0"/>
        <v>467</v>
      </c>
      <c r="G18" s="68">
        <f t="shared" si="0"/>
        <v>192</v>
      </c>
      <c r="H18" s="68"/>
    </row>
  </sheetData>
  <mergeCells count="3">
    <mergeCell ref="A1:H1"/>
    <mergeCell ref="A2:H2"/>
    <mergeCell ref="A3:H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C3E50"/>
  </sheetPr>
  <dimension ref="A1:H104"/>
  <sheetViews>
    <sheetView showGridLines="0" tabSelected="1" zoomScaleNormal="100" workbookViewId="0">
      <selection sqref="A1:H1"/>
    </sheetView>
  </sheetViews>
  <sheetFormatPr defaultColWidth="8.6640625" defaultRowHeight="14.4" x14ac:dyDescent="0.3"/>
  <cols>
    <col min="1" max="1" width="14" customWidth="1"/>
    <col min="2" max="2" width="18" customWidth="1"/>
    <col min="3" max="3" width="20" customWidth="1"/>
    <col min="4" max="5" width="14" customWidth="1"/>
    <col min="6" max="6" width="16" customWidth="1"/>
    <col min="7" max="7" width="20" customWidth="1"/>
    <col min="8" max="8" width="24" customWidth="1"/>
  </cols>
  <sheetData>
    <row r="1" spans="1:8" ht="31.5" customHeight="1" x14ac:dyDescent="0.3">
      <c r="A1" s="144" t="s">
        <v>820</v>
      </c>
      <c r="B1" s="144"/>
      <c r="C1" s="144"/>
      <c r="D1" s="144"/>
      <c r="E1" s="144"/>
      <c r="F1" s="144"/>
      <c r="G1" s="144"/>
      <c r="H1" s="144"/>
    </row>
    <row r="2" spans="1:8" ht="18" customHeight="1" x14ac:dyDescent="0.3">
      <c r="A2" s="145" t="s">
        <v>821</v>
      </c>
      <c r="B2" s="145"/>
      <c r="C2" s="145"/>
      <c r="D2" s="145"/>
      <c r="E2" s="145"/>
      <c r="F2" s="145"/>
      <c r="G2" s="145"/>
      <c r="H2" s="145"/>
    </row>
    <row r="3" spans="1:8" ht="3.75" customHeight="1" x14ac:dyDescent="0.3">
      <c r="A3" s="141"/>
      <c r="B3" s="141"/>
      <c r="C3" s="141"/>
      <c r="D3" s="141"/>
      <c r="E3" s="141"/>
      <c r="F3" s="141"/>
      <c r="G3" s="141"/>
      <c r="H3" s="141"/>
    </row>
    <row r="4" spans="1:8" ht="36" customHeight="1" x14ac:dyDescent="0.3">
      <c r="A4" s="69" t="s">
        <v>222</v>
      </c>
      <c r="B4" s="69" t="s">
        <v>223</v>
      </c>
      <c r="C4" s="69" t="s">
        <v>822</v>
      </c>
      <c r="D4" s="69" t="s">
        <v>823</v>
      </c>
      <c r="E4" s="69" t="s">
        <v>824</v>
      </c>
      <c r="F4" s="69" t="s">
        <v>825</v>
      </c>
      <c r="G4" s="69" t="s">
        <v>826</v>
      </c>
      <c r="H4" s="69" t="s">
        <v>827</v>
      </c>
    </row>
    <row r="5" spans="1:8" ht="19.5" customHeight="1" x14ac:dyDescent="0.3">
      <c r="A5" s="51" t="s">
        <v>479</v>
      </c>
      <c r="B5" s="51" t="s">
        <v>264</v>
      </c>
      <c r="C5" s="51" t="s">
        <v>268</v>
      </c>
      <c r="D5" s="51" t="s">
        <v>828</v>
      </c>
      <c r="E5" s="51">
        <v>60</v>
      </c>
      <c r="F5" s="51" t="s">
        <v>829</v>
      </c>
      <c r="G5" s="51" t="s">
        <v>245</v>
      </c>
      <c r="H5" s="51" t="s">
        <v>830</v>
      </c>
    </row>
    <row r="6" spans="1:8" ht="19.5" customHeight="1" x14ac:dyDescent="0.3">
      <c r="A6" s="70" t="s">
        <v>479</v>
      </c>
      <c r="B6" s="70" t="s">
        <v>277</v>
      </c>
      <c r="C6" s="70" t="s">
        <v>268</v>
      </c>
      <c r="D6" s="70" t="s">
        <v>828</v>
      </c>
      <c r="E6" s="70">
        <v>60</v>
      </c>
      <c r="F6" s="70" t="s">
        <v>829</v>
      </c>
      <c r="G6" s="70" t="s">
        <v>246</v>
      </c>
      <c r="H6" s="70" t="s">
        <v>831</v>
      </c>
    </row>
    <row r="7" spans="1:8" ht="19.5" customHeight="1" x14ac:dyDescent="0.3">
      <c r="A7" s="51" t="s">
        <v>479</v>
      </c>
      <c r="B7" s="51" t="s">
        <v>258</v>
      </c>
      <c r="C7" s="51" t="s">
        <v>308</v>
      </c>
      <c r="D7" s="51" t="s">
        <v>70</v>
      </c>
      <c r="E7" s="51">
        <v>55</v>
      </c>
      <c r="F7" s="51" t="s">
        <v>829</v>
      </c>
      <c r="G7" s="51" t="s">
        <v>246</v>
      </c>
      <c r="H7" s="51" t="s">
        <v>832</v>
      </c>
    </row>
    <row r="8" spans="1:8" ht="19.5" customHeight="1" x14ac:dyDescent="0.3">
      <c r="A8" s="70" t="s">
        <v>479</v>
      </c>
      <c r="B8" s="70" t="s">
        <v>258</v>
      </c>
      <c r="C8" s="70" t="s">
        <v>833</v>
      </c>
      <c r="D8" s="70" t="s">
        <v>70</v>
      </c>
      <c r="E8" s="70">
        <v>50</v>
      </c>
      <c r="F8" s="70" t="s">
        <v>829</v>
      </c>
      <c r="G8" s="70" t="s">
        <v>246</v>
      </c>
      <c r="H8" s="70" t="s">
        <v>834</v>
      </c>
    </row>
    <row r="9" spans="1:8" ht="19.5" customHeight="1" x14ac:dyDescent="0.3">
      <c r="A9" s="51" t="s">
        <v>479</v>
      </c>
      <c r="B9" s="51" t="s">
        <v>282</v>
      </c>
      <c r="C9" s="51" t="s">
        <v>835</v>
      </c>
      <c r="D9" s="51" t="s">
        <v>67</v>
      </c>
      <c r="E9" s="51">
        <v>80</v>
      </c>
      <c r="F9" s="51" t="s">
        <v>836</v>
      </c>
      <c r="G9" s="51" t="s">
        <v>246</v>
      </c>
      <c r="H9" s="51" t="s">
        <v>837</v>
      </c>
    </row>
    <row r="10" spans="1:8" ht="19.5" customHeight="1" x14ac:dyDescent="0.3">
      <c r="A10" s="70" t="s">
        <v>479</v>
      </c>
      <c r="B10" s="70" t="s">
        <v>282</v>
      </c>
      <c r="C10" s="70" t="s">
        <v>290</v>
      </c>
      <c r="D10" s="70" t="s">
        <v>67</v>
      </c>
      <c r="E10" s="70">
        <v>85</v>
      </c>
      <c r="F10" s="70" t="s">
        <v>836</v>
      </c>
      <c r="G10" s="70" t="s">
        <v>246</v>
      </c>
      <c r="H10" s="70" t="s">
        <v>838</v>
      </c>
    </row>
    <row r="11" spans="1:8" ht="19.5" customHeight="1" x14ac:dyDescent="0.3">
      <c r="A11" s="51" t="s">
        <v>522</v>
      </c>
      <c r="B11" s="51" t="s">
        <v>311</v>
      </c>
      <c r="C11" s="51" t="s">
        <v>268</v>
      </c>
      <c r="D11" s="51" t="s">
        <v>828</v>
      </c>
      <c r="E11" s="51">
        <v>60</v>
      </c>
      <c r="F11" s="51" t="s">
        <v>829</v>
      </c>
      <c r="G11" s="51" t="s">
        <v>245</v>
      </c>
      <c r="H11" s="51" t="s">
        <v>839</v>
      </c>
    </row>
    <row r="12" spans="1:8" ht="19.5" customHeight="1" x14ac:dyDescent="0.3">
      <c r="A12" s="70" t="s">
        <v>522</v>
      </c>
      <c r="B12" s="70" t="s">
        <v>305</v>
      </c>
      <c r="C12" s="70" t="s">
        <v>308</v>
      </c>
      <c r="D12" s="70" t="s">
        <v>70</v>
      </c>
      <c r="E12" s="70">
        <v>55</v>
      </c>
      <c r="F12" s="70" t="s">
        <v>829</v>
      </c>
      <c r="G12" s="70" t="s">
        <v>246</v>
      </c>
      <c r="H12" s="70" t="s">
        <v>840</v>
      </c>
    </row>
    <row r="13" spans="1:8" ht="19.5" customHeight="1" x14ac:dyDescent="0.3">
      <c r="A13" s="51" t="s">
        <v>522</v>
      </c>
      <c r="B13" s="51" t="s">
        <v>320</v>
      </c>
      <c r="C13" s="51" t="s">
        <v>326</v>
      </c>
      <c r="D13" s="51" t="s">
        <v>67</v>
      </c>
      <c r="E13" s="51">
        <v>80</v>
      </c>
      <c r="F13" s="51" t="s">
        <v>836</v>
      </c>
      <c r="G13" s="51" t="s">
        <v>246</v>
      </c>
      <c r="H13" s="51" t="s">
        <v>841</v>
      </c>
    </row>
    <row r="14" spans="1:8" ht="19.5" customHeight="1" x14ac:dyDescent="0.3">
      <c r="A14" s="70" t="s">
        <v>522</v>
      </c>
      <c r="B14" s="70" t="s">
        <v>320</v>
      </c>
      <c r="C14" s="70" t="s">
        <v>268</v>
      </c>
      <c r="D14" s="70" t="s">
        <v>828</v>
      </c>
      <c r="E14" s="70">
        <v>60</v>
      </c>
      <c r="F14" s="70" t="s">
        <v>829</v>
      </c>
      <c r="G14" s="70" t="s">
        <v>246</v>
      </c>
      <c r="H14" s="70" t="s">
        <v>842</v>
      </c>
    </row>
    <row r="15" spans="1:8" ht="19.5" customHeight="1" x14ac:dyDescent="0.3">
      <c r="A15" s="51" t="s">
        <v>559</v>
      </c>
      <c r="B15" s="51" t="s">
        <v>353</v>
      </c>
      <c r="C15" s="51" t="s">
        <v>268</v>
      </c>
      <c r="D15" s="51" t="s">
        <v>828</v>
      </c>
      <c r="E15" s="51">
        <v>60</v>
      </c>
      <c r="F15" s="51" t="s">
        <v>829</v>
      </c>
      <c r="G15" s="51" t="s">
        <v>245</v>
      </c>
      <c r="H15" s="51" t="s">
        <v>843</v>
      </c>
    </row>
    <row r="16" spans="1:8" ht="19.5" customHeight="1" x14ac:dyDescent="0.3">
      <c r="A16" s="70" t="s">
        <v>559</v>
      </c>
      <c r="B16" s="70" t="s">
        <v>385</v>
      </c>
      <c r="C16" s="70" t="s">
        <v>268</v>
      </c>
      <c r="D16" s="70" t="s">
        <v>828</v>
      </c>
      <c r="E16" s="70">
        <v>60</v>
      </c>
      <c r="F16" s="70" t="s">
        <v>829</v>
      </c>
      <c r="G16" s="70" t="s">
        <v>245</v>
      </c>
      <c r="H16" s="70" t="s">
        <v>844</v>
      </c>
    </row>
    <row r="17" spans="1:8" ht="19.5" customHeight="1" x14ac:dyDescent="0.3">
      <c r="A17" s="51" t="s">
        <v>559</v>
      </c>
      <c r="B17" s="51" t="s">
        <v>385</v>
      </c>
      <c r="C17" s="51" t="s">
        <v>845</v>
      </c>
      <c r="D17" s="51" t="s">
        <v>828</v>
      </c>
      <c r="E17" s="51">
        <v>20</v>
      </c>
      <c r="F17" s="51" t="s">
        <v>829</v>
      </c>
      <c r="G17" s="51" t="s">
        <v>246</v>
      </c>
      <c r="H17" s="51" t="s">
        <v>846</v>
      </c>
    </row>
    <row r="18" spans="1:8" ht="19.5" customHeight="1" x14ac:dyDescent="0.3">
      <c r="A18" s="70" t="s">
        <v>559</v>
      </c>
      <c r="B18" s="70" t="s">
        <v>375</v>
      </c>
      <c r="C18" s="70" t="s">
        <v>308</v>
      </c>
      <c r="D18" s="70" t="s">
        <v>70</v>
      </c>
      <c r="E18" s="70">
        <v>55</v>
      </c>
      <c r="F18" s="70" t="s">
        <v>829</v>
      </c>
      <c r="G18" s="70" t="s">
        <v>246</v>
      </c>
      <c r="H18" s="70" t="s">
        <v>847</v>
      </c>
    </row>
    <row r="19" spans="1:8" ht="19.5" customHeight="1" x14ac:dyDescent="0.3">
      <c r="A19" s="51" t="s">
        <v>559</v>
      </c>
      <c r="B19" s="51" t="s">
        <v>366</v>
      </c>
      <c r="C19" s="51" t="s">
        <v>848</v>
      </c>
      <c r="D19" s="51" t="s">
        <v>828</v>
      </c>
      <c r="E19" s="51">
        <v>80</v>
      </c>
      <c r="F19" s="51" t="s">
        <v>829</v>
      </c>
      <c r="G19" s="51" t="s">
        <v>246</v>
      </c>
      <c r="H19" s="51" t="s">
        <v>849</v>
      </c>
    </row>
    <row r="20" spans="1:8" ht="19.5" customHeight="1" x14ac:dyDescent="0.3">
      <c r="A20" s="70" t="s">
        <v>559</v>
      </c>
      <c r="B20" s="70" t="s">
        <v>380</v>
      </c>
      <c r="C20" s="70" t="s">
        <v>835</v>
      </c>
      <c r="D20" s="70" t="s">
        <v>67</v>
      </c>
      <c r="E20" s="70">
        <v>80</v>
      </c>
      <c r="F20" s="70" t="s">
        <v>836</v>
      </c>
      <c r="G20" s="70" t="s">
        <v>246</v>
      </c>
      <c r="H20" s="70" t="s">
        <v>850</v>
      </c>
    </row>
    <row r="21" spans="1:8" ht="19.5" customHeight="1" x14ac:dyDescent="0.3">
      <c r="A21" s="51" t="s">
        <v>580</v>
      </c>
      <c r="B21" s="51" t="s">
        <v>404</v>
      </c>
      <c r="C21" s="51" t="s">
        <v>308</v>
      </c>
      <c r="D21" s="51" t="s">
        <v>70</v>
      </c>
      <c r="E21" s="51">
        <v>55</v>
      </c>
      <c r="F21" s="51" t="s">
        <v>829</v>
      </c>
      <c r="G21" s="51" t="s">
        <v>246</v>
      </c>
      <c r="H21" s="51" t="s">
        <v>851</v>
      </c>
    </row>
    <row r="22" spans="1:8" ht="19.5" customHeight="1" x14ac:dyDescent="0.3">
      <c r="A22" s="70" t="s">
        <v>580</v>
      </c>
      <c r="B22" s="70" t="s">
        <v>409</v>
      </c>
      <c r="C22" s="70" t="s">
        <v>268</v>
      </c>
      <c r="D22" s="70" t="s">
        <v>828</v>
      </c>
      <c r="E22" s="70">
        <v>60</v>
      </c>
      <c r="F22" s="70" t="s">
        <v>829</v>
      </c>
      <c r="G22" s="70" t="s">
        <v>245</v>
      </c>
      <c r="H22" s="70" t="s">
        <v>852</v>
      </c>
    </row>
    <row r="23" spans="1:8" ht="19.5" customHeight="1" x14ac:dyDescent="0.3">
      <c r="A23" s="71"/>
      <c r="B23" s="71"/>
      <c r="C23" s="71"/>
      <c r="D23" s="71"/>
      <c r="E23" s="71"/>
      <c r="F23" s="71"/>
      <c r="G23" s="71"/>
      <c r="H23" s="71"/>
    </row>
    <row r="24" spans="1:8" ht="19.5" customHeight="1" x14ac:dyDescent="0.3">
      <c r="A24" s="72"/>
      <c r="B24" s="72"/>
      <c r="C24" s="72"/>
      <c r="D24" s="72"/>
      <c r="E24" s="72"/>
      <c r="F24" s="72"/>
      <c r="G24" s="72"/>
      <c r="H24" s="72"/>
    </row>
    <row r="25" spans="1:8" ht="19.5" customHeight="1" x14ac:dyDescent="0.3">
      <c r="A25" s="71"/>
      <c r="B25" s="71"/>
      <c r="C25" s="71"/>
      <c r="D25" s="71"/>
      <c r="E25" s="71"/>
      <c r="F25" s="71"/>
      <c r="G25" s="71"/>
      <c r="H25" s="71"/>
    </row>
    <row r="26" spans="1:8" ht="19.5" customHeight="1" x14ac:dyDescent="0.3">
      <c r="A26" s="72"/>
      <c r="B26" s="72"/>
      <c r="C26" s="72"/>
      <c r="D26" s="72"/>
      <c r="E26" s="72"/>
      <c r="F26" s="72"/>
      <c r="G26" s="72"/>
      <c r="H26" s="72"/>
    </row>
    <row r="27" spans="1:8" ht="19.5" customHeight="1" x14ac:dyDescent="0.3">
      <c r="A27" s="71"/>
      <c r="B27" s="71"/>
      <c r="C27" s="71"/>
      <c r="D27" s="71"/>
      <c r="E27" s="71"/>
      <c r="F27" s="71"/>
      <c r="G27" s="71"/>
      <c r="H27" s="71"/>
    </row>
    <row r="28" spans="1:8" ht="19.5" customHeight="1" x14ac:dyDescent="0.3">
      <c r="A28" s="72"/>
      <c r="B28" s="72"/>
      <c r="C28" s="72"/>
      <c r="D28" s="72"/>
      <c r="E28" s="72"/>
      <c r="F28" s="72"/>
      <c r="G28" s="72"/>
      <c r="H28" s="72"/>
    </row>
    <row r="29" spans="1:8" ht="19.5" customHeight="1" x14ac:dyDescent="0.3">
      <c r="A29" s="71"/>
      <c r="B29" s="71"/>
      <c r="C29" s="71"/>
      <c r="D29" s="71"/>
      <c r="E29" s="71"/>
      <c r="F29" s="71"/>
      <c r="G29" s="71"/>
      <c r="H29" s="71"/>
    </row>
    <row r="30" spans="1:8" ht="19.5" customHeight="1" x14ac:dyDescent="0.3">
      <c r="A30" s="72"/>
      <c r="B30" s="72"/>
      <c r="C30" s="72"/>
      <c r="D30" s="72"/>
      <c r="E30" s="72"/>
      <c r="F30" s="72"/>
      <c r="G30" s="72"/>
      <c r="H30" s="72"/>
    </row>
    <row r="31" spans="1:8" ht="19.5" customHeight="1" x14ac:dyDescent="0.3">
      <c r="A31" s="71"/>
      <c r="B31" s="71"/>
      <c r="C31" s="71"/>
      <c r="D31" s="71"/>
      <c r="E31" s="71"/>
      <c r="F31" s="71"/>
      <c r="G31" s="71"/>
      <c r="H31" s="71"/>
    </row>
    <row r="32" spans="1:8" ht="19.5" customHeight="1" x14ac:dyDescent="0.3">
      <c r="A32" s="72"/>
      <c r="B32" s="72"/>
      <c r="C32" s="72"/>
      <c r="D32" s="72"/>
      <c r="E32" s="72"/>
      <c r="F32" s="72"/>
      <c r="G32" s="72"/>
      <c r="H32" s="72"/>
    </row>
    <row r="33" spans="1:8" ht="19.5" customHeight="1" x14ac:dyDescent="0.3">
      <c r="A33" s="71"/>
      <c r="B33" s="71"/>
      <c r="C33" s="71"/>
      <c r="D33" s="71"/>
      <c r="E33" s="71"/>
      <c r="F33" s="71"/>
      <c r="G33" s="71"/>
      <c r="H33" s="71"/>
    </row>
    <row r="34" spans="1:8" ht="19.5" customHeight="1" x14ac:dyDescent="0.3">
      <c r="A34" s="72"/>
      <c r="B34" s="72"/>
      <c r="C34" s="72"/>
      <c r="D34" s="72"/>
      <c r="E34" s="72"/>
      <c r="F34" s="72"/>
      <c r="G34" s="72"/>
      <c r="H34" s="72"/>
    </row>
    <row r="35" spans="1:8" ht="19.5" customHeight="1" x14ac:dyDescent="0.3">
      <c r="A35" s="71"/>
      <c r="B35" s="71"/>
      <c r="C35" s="71"/>
      <c r="D35" s="71"/>
      <c r="E35" s="71"/>
      <c r="F35" s="71"/>
      <c r="G35" s="71"/>
      <c r="H35" s="71"/>
    </row>
    <row r="36" spans="1:8" ht="19.5" customHeight="1" x14ac:dyDescent="0.3">
      <c r="A36" s="72"/>
      <c r="B36" s="72"/>
      <c r="C36" s="72"/>
      <c r="D36" s="72"/>
      <c r="E36" s="72"/>
      <c r="F36" s="72"/>
      <c r="G36" s="72"/>
      <c r="H36" s="72"/>
    </row>
    <row r="37" spans="1:8" ht="19.5" customHeight="1" x14ac:dyDescent="0.3">
      <c r="A37" s="71"/>
      <c r="B37" s="71"/>
      <c r="C37" s="71"/>
      <c r="D37" s="71"/>
      <c r="E37" s="71"/>
      <c r="F37" s="71"/>
      <c r="G37" s="71"/>
      <c r="H37" s="71"/>
    </row>
    <row r="38" spans="1:8" ht="19.5" customHeight="1" x14ac:dyDescent="0.3">
      <c r="A38" s="72"/>
      <c r="B38" s="72"/>
      <c r="C38" s="72"/>
      <c r="D38" s="72"/>
      <c r="E38" s="72"/>
      <c r="F38" s="72"/>
      <c r="G38" s="72"/>
      <c r="H38" s="72"/>
    </row>
    <row r="39" spans="1:8" ht="19.5" customHeight="1" x14ac:dyDescent="0.3">
      <c r="A39" s="71"/>
      <c r="B39" s="71"/>
      <c r="C39" s="71"/>
      <c r="D39" s="71"/>
      <c r="E39" s="71"/>
      <c r="F39" s="71"/>
      <c r="G39" s="71"/>
      <c r="H39" s="71"/>
    </row>
    <row r="40" spans="1:8" ht="19.5" customHeight="1" x14ac:dyDescent="0.3">
      <c r="A40" s="72"/>
      <c r="B40" s="72"/>
      <c r="C40" s="72"/>
      <c r="D40" s="72"/>
      <c r="E40" s="72"/>
      <c r="F40" s="72"/>
      <c r="G40" s="72"/>
      <c r="H40" s="72"/>
    </row>
    <row r="41" spans="1:8" ht="19.5" customHeight="1" x14ac:dyDescent="0.3">
      <c r="A41" s="71"/>
      <c r="B41" s="71"/>
      <c r="C41" s="71"/>
      <c r="D41" s="71"/>
      <c r="E41" s="71"/>
      <c r="F41" s="71"/>
      <c r="G41" s="71"/>
      <c r="H41" s="71"/>
    </row>
    <row r="42" spans="1:8" ht="19.5" customHeight="1" x14ac:dyDescent="0.3">
      <c r="A42" s="72"/>
      <c r="B42" s="72"/>
      <c r="C42" s="72"/>
      <c r="D42" s="72"/>
      <c r="E42" s="72"/>
      <c r="F42" s="72"/>
      <c r="G42" s="72"/>
      <c r="H42" s="72"/>
    </row>
    <row r="43" spans="1:8" ht="19.5" customHeight="1" x14ac:dyDescent="0.3">
      <c r="A43" s="71"/>
      <c r="B43" s="71"/>
      <c r="C43" s="71"/>
      <c r="D43" s="71"/>
      <c r="E43" s="71"/>
      <c r="F43" s="71"/>
      <c r="G43" s="71"/>
      <c r="H43" s="71"/>
    </row>
    <row r="44" spans="1:8" ht="19.5" customHeight="1" x14ac:dyDescent="0.3">
      <c r="A44" s="72"/>
      <c r="B44" s="72"/>
      <c r="C44" s="72"/>
      <c r="D44" s="72"/>
      <c r="E44" s="72"/>
      <c r="F44" s="72"/>
      <c r="G44" s="72"/>
      <c r="H44" s="72"/>
    </row>
    <row r="45" spans="1:8" ht="19.5" customHeight="1" x14ac:dyDescent="0.3">
      <c r="A45" s="71"/>
      <c r="B45" s="71"/>
      <c r="C45" s="71"/>
      <c r="D45" s="71"/>
      <c r="E45" s="71"/>
      <c r="F45" s="71"/>
      <c r="G45" s="71"/>
      <c r="H45" s="71"/>
    </row>
    <row r="46" spans="1:8" ht="19.5" customHeight="1" x14ac:dyDescent="0.3">
      <c r="A46" s="72"/>
      <c r="B46" s="72"/>
      <c r="C46" s="72"/>
      <c r="D46" s="72"/>
      <c r="E46" s="72"/>
      <c r="F46" s="72"/>
      <c r="G46" s="72"/>
      <c r="H46" s="72"/>
    </row>
    <row r="47" spans="1:8" ht="19.5" customHeight="1" x14ac:dyDescent="0.3">
      <c r="A47" s="71"/>
      <c r="B47" s="71"/>
      <c r="C47" s="71"/>
      <c r="D47" s="71"/>
      <c r="E47" s="71"/>
      <c r="F47" s="71"/>
      <c r="G47" s="71"/>
      <c r="H47" s="71"/>
    </row>
    <row r="48" spans="1:8" ht="19.5" customHeight="1" x14ac:dyDescent="0.3">
      <c r="A48" s="72"/>
      <c r="B48" s="72"/>
      <c r="C48" s="72"/>
      <c r="D48" s="72"/>
      <c r="E48" s="72"/>
      <c r="F48" s="72"/>
      <c r="G48" s="72"/>
      <c r="H48" s="72"/>
    </row>
    <row r="49" spans="1:8" ht="19.5" customHeight="1" x14ac:dyDescent="0.3">
      <c r="A49" s="71"/>
      <c r="B49" s="71"/>
      <c r="C49" s="71"/>
      <c r="D49" s="71"/>
      <c r="E49" s="71"/>
      <c r="F49" s="71"/>
      <c r="G49" s="71"/>
      <c r="H49" s="71"/>
    </row>
    <row r="50" spans="1:8" ht="19.5" customHeight="1" x14ac:dyDescent="0.3">
      <c r="A50" s="72"/>
      <c r="B50" s="72"/>
      <c r="C50" s="72"/>
      <c r="D50" s="72"/>
      <c r="E50" s="72"/>
      <c r="F50" s="72"/>
      <c r="G50" s="72"/>
      <c r="H50" s="72"/>
    </row>
    <row r="51" spans="1:8" ht="19.5" customHeight="1" x14ac:dyDescent="0.3">
      <c r="A51" s="71"/>
      <c r="B51" s="71"/>
      <c r="C51" s="71"/>
      <c r="D51" s="71"/>
      <c r="E51" s="71"/>
      <c r="F51" s="71"/>
      <c r="G51" s="71"/>
      <c r="H51" s="71"/>
    </row>
    <row r="52" spans="1:8" ht="19.5" customHeight="1" x14ac:dyDescent="0.3">
      <c r="A52" s="72"/>
      <c r="B52" s="72"/>
      <c r="C52" s="72"/>
      <c r="D52" s="72"/>
      <c r="E52" s="72"/>
      <c r="F52" s="72"/>
      <c r="G52" s="72"/>
      <c r="H52" s="72"/>
    </row>
    <row r="53" spans="1:8" ht="19.5" customHeight="1" x14ac:dyDescent="0.3">
      <c r="A53" s="71"/>
      <c r="B53" s="71"/>
      <c r="C53" s="71"/>
      <c r="D53" s="71"/>
      <c r="E53" s="71"/>
      <c r="F53" s="71"/>
      <c r="G53" s="71"/>
      <c r="H53" s="71"/>
    </row>
    <row r="54" spans="1:8" ht="19.5" customHeight="1" x14ac:dyDescent="0.3">
      <c r="A54" s="72"/>
      <c r="B54" s="72"/>
      <c r="C54" s="72"/>
      <c r="D54" s="72"/>
      <c r="E54" s="72"/>
      <c r="F54" s="72"/>
      <c r="G54" s="72"/>
      <c r="H54" s="72"/>
    </row>
    <row r="55" spans="1:8" ht="19.5" customHeight="1" x14ac:dyDescent="0.3">
      <c r="A55" s="71"/>
      <c r="B55" s="71"/>
      <c r="C55" s="71"/>
      <c r="D55" s="71"/>
      <c r="E55" s="71"/>
      <c r="F55" s="71"/>
      <c r="G55" s="71"/>
      <c r="H55" s="71"/>
    </row>
    <row r="56" spans="1:8" ht="19.5" customHeight="1" x14ac:dyDescent="0.3">
      <c r="A56" s="72"/>
      <c r="B56" s="72"/>
      <c r="C56" s="72"/>
      <c r="D56" s="72"/>
      <c r="E56" s="72"/>
      <c r="F56" s="72"/>
      <c r="G56" s="72"/>
      <c r="H56" s="72"/>
    </row>
    <row r="57" spans="1:8" ht="19.5" customHeight="1" x14ac:dyDescent="0.3">
      <c r="A57" s="71"/>
      <c r="B57" s="71"/>
      <c r="C57" s="71"/>
      <c r="D57" s="71"/>
      <c r="E57" s="71"/>
      <c r="F57" s="71"/>
      <c r="G57" s="71"/>
      <c r="H57" s="71"/>
    </row>
    <row r="58" spans="1:8" ht="19.5" customHeight="1" x14ac:dyDescent="0.3">
      <c r="A58" s="72"/>
      <c r="B58" s="72"/>
      <c r="C58" s="72"/>
      <c r="D58" s="72"/>
      <c r="E58" s="72"/>
      <c r="F58" s="72"/>
      <c r="G58" s="72"/>
      <c r="H58" s="72"/>
    </row>
    <row r="59" spans="1:8" ht="19.5" customHeight="1" x14ac:dyDescent="0.3">
      <c r="A59" s="71"/>
      <c r="B59" s="71"/>
      <c r="C59" s="71"/>
      <c r="D59" s="71"/>
      <c r="E59" s="71"/>
      <c r="F59" s="71"/>
      <c r="G59" s="71"/>
      <c r="H59" s="71"/>
    </row>
    <row r="60" spans="1:8" ht="19.5" customHeight="1" x14ac:dyDescent="0.3">
      <c r="A60" s="72"/>
      <c r="B60" s="72"/>
      <c r="C60" s="72"/>
      <c r="D60" s="72"/>
      <c r="E60" s="72"/>
      <c r="F60" s="72"/>
      <c r="G60" s="72"/>
      <c r="H60" s="72"/>
    </row>
    <row r="61" spans="1:8" ht="19.5" customHeight="1" x14ac:dyDescent="0.3">
      <c r="A61" s="71"/>
      <c r="B61" s="71"/>
      <c r="C61" s="71"/>
      <c r="D61" s="71"/>
      <c r="E61" s="71"/>
      <c r="F61" s="71"/>
      <c r="G61" s="71"/>
      <c r="H61" s="71"/>
    </row>
    <row r="62" spans="1:8" ht="19.5" customHeight="1" x14ac:dyDescent="0.3">
      <c r="A62" s="72"/>
      <c r="B62" s="72"/>
      <c r="C62" s="72"/>
      <c r="D62" s="72"/>
      <c r="E62" s="72"/>
      <c r="F62" s="72"/>
      <c r="G62" s="72"/>
      <c r="H62" s="72"/>
    </row>
    <row r="63" spans="1:8" ht="19.5" customHeight="1" x14ac:dyDescent="0.3">
      <c r="A63" s="71"/>
      <c r="B63" s="71"/>
      <c r="C63" s="71"/>
      <c r="D63" s="71"/>
      <c r="E63" s="71"/>
      <c r="F63" s="71"/>
      <c r="G63" s="71"/>
      <c r="H63" s="71"/>
    </row>
    <row r="64" spans="1:8" ht="19.5" customHeight="1" x14ac:dyDescent="0.3">
      <c r="A64" s="72"/>
      <c r="B64" s="72"/>
      <c r="C64" s="72"/>
      <c r="D64" s="72"/>
      <c r="E64" s="72"/>
      <c r="F64" s="72"/>
      <c r="G64" s="72"/>
      <c r="H64" s="72"/>
    </row>
    <row r="65" spans="1:8" ht="19.5" customHeight="1" x14ac:dyDescent="0.3">
      <c r="A65" s="71"/>
      <c r="B65" s="71"/>
      <c r="C65" s="71"/>
      <c r="D65" s="71"/>
      <c r="E65" s="71"/>
      <c r="F65" s="71"/>
      <c r="G65" s="71"/>
      <c r="H65" s="71"/>
    </row>
    <row r="66" spans="1:8" ht="19.5" customHeight="1" x14ac:dyDescent="0.3">
      <c r="A66" s="72"/>
      <c r="B66" s="72"/>
      <c r="C66" s="72"/>
      <c r="D66" s="72"/>
      <c r="E66" s="72"/>
      <c r="F66" s="72"/>
      <c r="G66" s="72"/>
      <c r="H66" s="72"/>
    </row>
    <row r="67" spans="1:8" ht="19.5" customHeight="1" x14ac:dyDescent="0.3">
      <c r="A67" s="71"/>
      <c r="B67" s="71"/>
      <c r="C67" s="71"/>
      <c r="D67" s="71"/>
      <c r="E67" s="71"/>
      <c r="F67" s="71"/>
      <c r="G67" s="71"/>
      <c r="H67" s="71"/>
    </row>
    <row r="68" spans="1:8" ht="19.5" customHeight="1" x14ac:dyDescent="0.3">
      <c r="A68" s="72"/>
      <c r="B68" s="72"/>
      <c r="C68" s="72"/>
      <c r="D68" s="72"/>
      <c r="E68" s="72"/>
      <c r="F68" s="72"/>
      <c r="G68" s="72"/>
      <c r="H68" s="72"/>
    </row>
    <row r="69" spans="1:8" ht="19.5" customHeight="1" x14ac:dyDescent="0.3">
      <c r="A69" s="71"/>
      <c r="B69" s="71"/>
      <c r="C69" s="71"/>
      <c r="D69" s="71"/>
      <c r="E69" s="71"/>
      <c r="F69" s="71"/>
      <c r="G69" s="71"/>
      <c r="H69" s="71"/>
    </row>
    <row r="70" spans="1:8" ht="19.5" customHeight="1" x14ac:dyDescent="0.3">
      <c r="A70" s="72"/>
      <c r="B70" s="72"/>
      <c r="C70" s="72"/>
      <c r="D70" s="72"/>
      <c r="E70" s="72"/>
      <c r="F70" s="72"/>
      <c r="G70" s="72"/>
      <c r="H70" s="72"/>
    </row>
    <row r="71" spans="1:8" ht="19.5" customHeight="1" x14ac:dyDescent="0.3">
      <c r="A71" s="71"/>
      <c r="B71" s="71"/>
      <c r="C71" s="71"/>
      <c r="D71" s="71"/>
      <c r="E71" s="71"/>
      <c r="F71" s="71"/>
      <c r="G71" s="71"/>
      <c r="H71" s="71"/>
    </row>
    <row r="72" spans="1:8" ht="19.5" customHeight="1" x14ac:dyDescent="0.3">
      <c r="A72" s="72"/>
      <c r="B72" s="72"/>
      <c r="C72" s="72"/>
      <c r="D72" s="72"/>
      <c r="E72" s="72"/>
      <c r="F72" s="72"/>
      <c r="G72" s="72"/>
      <c r="H72" s="72"/>
    </row>
    <row r="73" spans="1:8" ht="19.5" customHeight="1" x14ac:dyDescent="0.3">
      <c r="A73" s="71"/>
      <c r="B73" s="71"/>
      <c r="C73" s="71"/>
      <c r="D73" s="71"/>
      <c r="E73" s="71"/>
      <c r="F73" s="71"/>
      <c r="G73" s="71"/>
      <c r="H73" s="71"/>
    </row>
    <row r="74" spans="1:8" ht="19.5" customHeight="1" x14ac:dyDescent="0.3">
      <c r="A74" s="72"/>
      <c r="B74" s="72"/>
      <c r="C74" s="72"/>
      <c r="D74" s="72"/>
      <c r="E74" s="72"/>
      <c r="F74" s="72"/>
      <c r="G74" s="72"/>
      <c r="H74" s="72"/>
    </row>
    <row r="75" spans="1:8" ht="19.5" customHeight="1" x14ac:dyDescent="0.3">
      <c r="A75" s="71"/>
      <c r="B75" s="71"/>
      <c r="C75" s="71"/>
      <c r="D75" s="71"/>
      <c r="E75" s="71"/>
      <c r="F75" s="71"/>
      <c r="G75" s="71"/>
      <c r="H75" s="71"/>
    </row>
    <row r="76" spans="1:8" ht="19.5" customHeight="1" x14ac:dyDescent="0.3">
      <c r="A76" s="72"/>
      <c r="B76" s="72"/>
      <c r="C76" s="72"/>
      <c r="D76" s="72"/>
      <c r="E76" s="72"/>
      <c r="F76" s="72"/>
      <c r="G76" s="72"/>
      <c r="H76" s="72"/>
    </row>
    <row r="77" spans="1:8" ht="19.5" customHeight="1" x14ac:dyDescent="0.3">
      <c r="A77" s="71"/>
      <c r="B77" s="71"/>
      <c r="C77" s="71"/>
      <c r="D77" s="71"/>
      <c r="E77" s="71"/>
      <c r="F77" s="71"/>
      <c r="G77" s="71"/>
      <c r="H77" s="71"/>
    </row>
    <row r="78" spans="1:8" ht="19.5" customHeight="1" x14ac:dyDescent="0.3">
      <c r="A78" s="72"/>
      <c r="B78" s="72"/>
      <c r="C78" s="72"/>
      <c r="D78" s="72"/>
      <c r="E78" s="72"/>
      <c r="F78" s="72"/>
      <c r="G78" s="72"/>
      <c r="H78" s="72"/>
    </row>
    <row r="79" spans="1:8" ht="19.5" customHeight="1" x14ac:dyDescent="0.3">
      <c r="A79" s="71"/>
      <c r="B79" s="71"/>
      <c r="C79" s="71"/>
      <c r="D79" s="71"/>
      <c r="E79" s="71"/>
      <c r="F79" s="71"/>
      <c r="G79" s="71"/>
      <c r="H79" s="71"/>
    </row>
    <row r="80" spans="1:8" ht="19.5" customHeight="1" x14ac:dyDescent="0.3">
      <c r="A80" s="72"/>
      <c r="B80" s="72"/>
      <c r="C80" s="72"/>
      <c r="D80" s="72"/>
      <c r="E80" s="72"/>
      <c r="F80" s="72"/>
      <c r="G80" s="72"/>
      <c r="H80" s="72"/>
    </row>
    <row r="81" spans="1:8" ht="19.5" customHeight="1" x14ac:dyDescent="0.3">
      <c r="A81" s="71"/>
      <c r="B81" s="71"/>
      <c r="C81" s="71"/>
      <c r="D81" s="71"/>
      <c r="E81" s="71"/>
      <c r="F81" s="71"/>
      <c r="G81" s="71"/>
      <c r="H81" s="71"/>
    </row>
    <row r="82" spans="1:8" ht="19.5" customHeight="1" x14ac:dyDescent="0.3">
      <c r="A82" s="72"/>
      <c r="B82" s="72"/>
      <c r="C82" s="72"/>
      <c r="D82" s="72"/>
      <c r="E82" s="72"/>
      <c r="F82" s="72"/>
      <c r="G82" s="72"/>
      <c r="H82" s="72"/>
    </row>
    <row r="83" spans="1:8" ht="19.5" customHeight="1" x14ac:dyDescent="0.3">
      <c r="A83" s="71"/>
      <c r="B83" s="71"/>
      <c r="C83" s="71"/>
      <c r="D83" s="71"/>
      <c r="E83" s="71"/>
      <c r="F83" s="71"/>
      <c r="G83" s="71"/>
      <c r="H83" s="71"/>
    </row>
    <row r="84" spans="1:8" ht="19.5" customHeight="1" x14ac:dyDescent="0.3">
      <c r="A84" s="72"/>
      <c r="B84" s="72"/>
      <c r="C84" s="72"/>
      <c r="D84" s="72"/>
      <c r="E84" s="72"/>
      <c r="F84" s="72"/>
      <c r="G84" s="72"/>
      <c r="H84" s="72"/>
    </row>
    <row r="85" spans="1:8" ht="19.5" customHeight="1" x14ac:dyDescent="0.3">
      <c r="A85" s="71"/>
      <c r="B85" s="71"/>
      <c r="C85" s="71"/>
      <c r="D85" s="71"/>
      <c r="E85" s="71"/>
      <c r="F85" s="71"/>
      <c r="G85" s="71"/>
      <c r="H85" s="71"/>
    </row>
    <row r="86" spans="1:8" ht="19.5" customHeight="1" x14ac:dyDescent="0.3">
      <c r="A86" s="72"/>
      <c r="B86" s="72"/>
      <c r="C86" s="72"/>
      <c r="D86" s="72"/>
      <c r="E86" s="72"/>
      <c r="F86" s="72"/>
      <c r="G86" s="72"/>
      <c r="H86" s="72"/>
    </row>
    <row r="87" spans="1:8" ht="19.5" customHeight="1" x14ac:dyDescent="0.3">
      <c r="A87" s="71"/>
      <c r="B87" s="71"/>
      <c r="C87" s="71"/>
      <c r="D87" s="71"/>
      <c r="E87" s="71"/>
      <c r="F87" s="71"/>
      <c r="G87" s="71"/>
      <c r="H87" s="71"/>
    </row>
    <row r="88" spans="1:8" ht="19.5" customHeight="1" x14ac:dyDescent="0.3">
      <c r="A88" s="72"/>
      <c r="B88" s="72"/>
      <c r="C88" s="72"/>
      <c r="D88" s="72"/>
      <c r="E88" s="72"/>
      <c r="F88" s="72"/>
      <c r="G88" s="72"/>
      <c r="H88" s="72"/>
    </row>
    <row r="89" spans="1:8" ht="19.5" customHeight="1" x14ac:dyDescent="0.3">
      <c r="A89" s="71"/>
      <c r="B89" s="71"/>
      <c r="C89" s="71"/>
      <c r="D89" s="71"/>
      <c r="E89" s="71"/>
      <c r="F89" s="71"/>
      <c r="G89" s="71"/>
      <c r="H89" s="71"/>
    </row>
    <row r="90" spans="1:8" ht="19.5" customHeight="1" x14ac:dyDescent="0.3">
      <c r="A90" s="72"/>
      <c r="B90" s="72"/>
      <c r="C90" s="72"/>
      <c r="D90" s="72"/>
      <c r="E90" s="72"/>
      <c r="F90" s="72"/>
      <c r="G90" s="72"/>
      <c r="H90" s="72"/>
    </row>
    <row r="91" spans="1:8" ht="19.5" customHeight="1" x14ac:dyDescent="0.3">
      <c r="A91" s="71"/>
      <c r="B91" s="71"/>
      <c r="C91" s="71"/>
      <c r="D91" s="71"/>
      <c r="E91" s="71"/>
      <c r="F91" s="71"/>
      <c r="G91" s="71"/>
      <c r="H91" s="71"/>
    </row>
    <row r="92" spans="1:8" ht="19.5" customHeight="1" x14ac:dyDescent="0.3">
      <c r="A92" s="72"/>
      <c r="B92" s="72"/>
      <c r="C92" s="72"/>
      <c r="D92" s="72"/>
      <c r="E92" s="72"/>
      <c r="F92" s="72"/>
      <c r="G92" s="72"/>
      <c r="H92" s="72"/>
    </row>
    <row r="93" spans="1:8" ht="19.5" customHeight="1" x14ac:dyDescent="0.3">
      <c r="A93" s="71"/>
      <c r="B93" s="71"/>
      <c r="C93" s="71"/>
      <c r="D93" s="71"/>
      <c r="E93" s="71"/>
      <c r="F93" s="71"/>
      <c r="G93" s="71"/>
      <c r="H93" s="71"/>
    </row>
    <row r="94" spans="1:8" ht="19.5" customHeight="1" x14ac:dyDescent="0.3">
      <c r="A94" s="72"/>
      <c r="B94" s="72"/>
      <c r="C94" s="72"/>
      <c r="D94" s="72"/>
      <c r="E94" s="72"/>
      <c r="F94" s="72"/>
      <c r="G94" s="72"/>
      <c r="H94" s="72"/>
    </row>
    <row r="95" spans="1:8" ht="19.5" customHeight="1" x14ac:dyDescent="0.3">
      <c r="A95" s="71"/>
      <c r="B95" s="71"/>
      <c r="C95" s="71"/>
      <c r="D95" s="71"/>
      <c r="E95" s="71"/>
      <c r="F95" s="71"/>
      <c r="G95" s="71"/>
      <c r="H95" s="71"/>
    </row>
    <row r="96" spans="1:8" ht="19.5" customHeight="1" x14ac:dyDescent="0.3">
      <c r="A96" s="72"/>
      <c r="B96" s="72"/>
      <c r="C96" s="72"/>
      <c r="D96" s="72"/>
      <c r="E96" s="72"/>
      <c r="F96" s="72"/>
      <c r="G96" s="72"/>
      <c r="H96" s="72"/>
    </row>
    <row r="97" spans="1:8" ht="19.5" customHeight="1" x14ac:dyDescent="0.3">
      <c r="A97" s="71"/>
      <c r="B97" s="71"/>
      <c r="C97" s="71"/>
      <c r="D97" s="71"/>
      <c r="E97" s="71"/>
      <c r="F97" s="71"/>
      <c r="G97" s="71"/>
      <c r="H97" s="71"/>
    </row>
    <row r="98" spans="1:8" ht="19.5" customHeight="1" x14ac:dyDescent="0.3">
      <c r="A98" s="72"/>
      <c r="B98" s="72"/>
      <c r="C98" s="72"/>
      <c r="D98" s="72"/>
      <c r="E98" s="72"/>
      <c r="F98" s="72"/>
      <c r="G98" s="72"/>
      <c r="H98" s="72"/>
    </row>
    <row r="99" spans="1:8" ht="19.5" customHeight="1" x14ac:dyDescent="0.3">
      <c r="A99" s="71"/>
      <c r="B99" s="71"/>
      <c r="C99" s="71"/>
      <c r="D99" s="71"/>
      <c r="E99" s="71"/>
      <c r="F99" s="71"/>
      <c r="G99" s="71"/>
      <c r="H99" s="71"/>
    </row>
    <row r="100" spans="1:8" ht="19.5" customHeight="1" x14ac:dyDescent="0.3">
      <c r="A100" s="72"/>
      <c r="B100" s="72"/>
      <c r="C100" s="72"/>
      <c r="D100" s="72"/>
      <c r="E100" s="72"/>
      <c r="F100" s="72"/>
      <c r="G100" s="72"/>
      <c r="H100" s="72"/>
    </row>
    <row r="101" spans="1:8" ht="19.5" customHeight="1" x14ac:dyDescent="0.3">
      <c r="A101" s="71"/>
      <c r="B101" s="71"/>
      <c r="C101" s="71"/>
      <c r="D101" s="71"/>
      <c r="E101" s="71"/>
      <c r="F101" s="71"/>
      <c r="G101" s="71"/>
      <c r="H101" s="71"/>
    </row>
    <row r="102" spans="1:8" ht="19.5" customHeight="1" x14ac:dyDescent="0.3">
      <c r="A102" s="72"/>
      <c r="B102" s="72"/>
      <c r="C102" s="72"/>
      <c r="D102" s="72"/>
      <c r="E102" s="72"/>
      <c r="F102" s="72"/>
      <c r="G102" s="72"/>
      <c r="H102" s="72"/>
    </row>
    <row r="103" spans="1:8" ht="19.5" customHeight="1" x14ac:dyDescent="0.3">
      <c r="A103" s="71"/>
      <c r="B103" s="71"/>
      <c r="C103" s="71"/>
      <c r="D103" s="71"/>
      <c r="E103" s="71"/>
      <c r="F103" s="71"/>
      <c r="G103" s="71"/>
      <c r="H103" s="71"/>
    </row>
    <row r="104" spans="1:8" ht="19.5" customHeight="1" x14ac:dyDescent="0.3">
      <c r="A104" s="72"/>
      <c r="B104" s="72"/>
      <c r="C104" s="72"/>
      <c r="D104" s="72"/>
      <c r="E104" s="72"/>
      <c r="F104" s="72"/>
      <c r="G104" s="72"/>
      <c r="H104" s="72"/>
    </row>
  </sheetData>
  <mergeCells count="3">
    <mergeCell ref="A1:H1"/>
    <mergeCell ref="A2:H2"/>
    <mergeCell ref="A3:H3"/>
  </mergeCells>
  <dataValidations count="3">
    <dataValidation type="list" allowBlank="1" sqref="D5:D104" xr:uid="{00000000-0002-0000-0500-000000000000}">
      <formula1>"Butter,Cheese,Chocolate,Shrikhand"</formula1>
      <formula2>0</formula2>
    </dataValidation>
    <dataValidation type="list" allowBlank="1" sqref="F5:F104" xr:uid="{00000000-0002-0000-0500-000001000000}">
      <formula1>"Eye Level,Below Eye Level,Top Shelf,Counter Top"</formula1>
      <formula2>0</formula2>
    </dataValidation>
    <dataValidation type="list" allowBlank="1" sqref="G5:G104" xr:uid="{00000000-0002-0000-0500-000002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S137"/>
  <sheetViews>
    <sheetView showGridLines="0" zoomScaleNormal="100" workbookViewId="0">
      <pane ySplit="5" topLeftCell="A6" activePane="bottomLeft" state="frozen"/>
      <selection pane="bottomLeft"/>
    </sheetView>
  </sheetViews>
  <sheetFormatPr defaultColWidth="8.6640625" defaultRowHeight="14.4" x14ac:dyDescent="0.3"/>
  <cols>
    <col min="1" max="1" width="6" customWidth="1"/>
    <col min="2" max="2" width="13" customWidth="1"/>
    <col min="3" max="3" width="24" customWidth="1"/>
    <col min="4" max="4" width="15" customWidth="1"/>
    <col min="5" max="5" width="16" customWidth="1"/>
    <col min="6" max="6" width="14" customWidth="1"/>
    <col min="7" max="9" width="10" customWidth="1"/>
    <col min="10" max="10" width="12" customWidth="1"/>
    <col min="11" max="11" width="10" customWidth="1"/>
    <col min="12" max="12" width="13" customWidth="1"/>
    <col min="13" max="13" width="10" customWidth="1"/>
    <col min="14" max="14" width="14" customWidth="1"/>
    <col min="15" max="15" width="12" customWidth="1"/>
    <col min="16" max="16" width="24" customWidth="1"/>
    <col min="17" max="17" width="28" customWidth="1"/>
    <col min="18" max="18" width="26" customWidth="1"/>
    <col min="19" max="19" width="14" customWidth="1"/>
  </cols>
  <sheetData>
    <row r="1" spans="1:19" ht="33.75" customHeight="1" x14ac:dyDescent="0.3">
      <c r="A1" s="146" t="s">
        <v>853</v>
      </c>
      <c r="B1" s="146"/>
      <c r="C1" s="146"/>
      <c r="D1" s="146"/>
      <c r="E1" s="146"/>
      <c r="F1" s="146"/>
      <c r="G1" s="146"/>
      <c r="H1" s="146"/>
      <c r="I1" s="146"/>
      <c r="J1" s="146"/>
      <c r="K1" s="146"/>
      <c r="L1" s="146"/>
      <c r="M1" s="146"/>
      <c r="N1" s="146"/>
      <c r="O1" s="146"/>
      <c r="P1" s="146"/>
      <c r="Q1" s="146"/>
      <c r="R1" s="146"/>
      <c r="S1" s="146"/>
    </row>
    <row r="2" spans="1:19" ht="18" customHeight="1" x14ac:dyDescent="0.3">
      <c r="A2" s="147" t="s">
        <v>854</v>
      </c>
      <c r="B2" s="147"/>
      <c r="C2" s="147"/>
      <c r="D2" s="147"/>
      <c r="E2" s="147"/>
      <c r="F2" s="147"/>
      <c r="G2" s="147"/>
      <c r="H2" s="147"/>
      <c r="I2" s="147"/>
      <c r="J2" s="147"/>
      <c r="K2" s="147"/>
      <c r="L2" s="147"/>
      <c r="M2" s="147"/>
      <c r="N2" s="147"/>
      <c r="O2" s="147"/>
      <c r="P2" s="147"/>
      <c r="Q2" s="147"/>
      <c r="R2" s="147"/>
      <c r="S2" s="147"/>
    </row>
    <row r="3" spans="1:19" ht="19.5" customHeight="1" x14ac:dyDescent="0.3">
      <c r="A3" s="148" t="s">
        <v>855</v>
      </c>
      <c r="B3" s="148"/>
      <c r="C3" s="148"/>
      <c r="D3" s="148"/>
      <c r="E3" s="148"/>
      <c r="F3" s="148"/>
      <c r="G3" s="148"/>
      <c r="H3" s="148"/>
      <c r="I3" s="148"/>
      <c r="J3" s="148"/>
      <c r="K3" s="148"/>
      <c r="L3" s="148"/>
      <c r="M3" s="148"/>
      <c r="N3" s="148"/>
      <c r="O3" s="148"/>
      <c r="P3" s="148"/>
      <c r="Q3" s="148"/>
      <c r="R3" s="148"/>
      <c r="S3" s="148"/>
    </row>
    <row r="4" spans="1:19" ht="3.75" customHeight="1" x14ac:dyDescent="0.3">
      <c r="A4" s="141"/>
      <c r="B4" s="141"/>
      <c r="C4" s="141"/>
      <c r="D4" s="141"/>
      <c r="E4" s="141"/>
      <c r="F4" s="141"/>
      <c r="G4" s="141"/>
      <c r="H4" s="141"/>
      <c r="I4" s="141"/>
      <c r="J4" s="141"/>
      <c r="K4" s="141"/>
      <c r="L4" s="141"/>
      <c r="M4" s="141"/>
      <c r="N4" s="141"/>
      <c r="O4" s="141"/>
      <c r="P4" s="141"/>
      <c r="Q4" s="141"/>
      <c r="R4" s="141"/>
      <c r="S4" s="141"/>
    </row>
    <row r="5" spans="1:19" ht="39.75" customHeight="1" x14ac:dyDescent="0.3">
      <c r="A5" s="42" t="s">
        <v>221</v>
      </c>
      <c r="B5" s="42" t="s">
        <v>222</v>
      </c>
      <c r="C5" s="42" t="s">
        <v>223</v>
      </c>
      <c r="D5" s="42" t="s">
        <v>224</v>
      </c>
      <c r="E5" s="73" t="s">
        <v>856</v>
      </c>
      <c r="F5" s="42" t="s">
        <v>226</v>
      </c>
      <c r="G5" s="43" t="s">
        <v>227</v>
      </c>
      <c r="H5" s="43" t="s">
        <v>228</v>
      </c>
      <c r="I5" s="43" t="s">
        <v>229</v>
      </c>
      <c r="J5" s="43" t="s">
        <v>230</v>
      </c>
      <c r="K5" s="44" t="s">
        <v>231</v>
      </c>
      <c r="L5" s="44" t="s">
        <v>857</v>
      </c>
      <c r="M5" s="45" t="s">
        <v>233</v>
      </c>
      <c r="N5" s="45" t="s">
        <v>234</v>
      </c>
      <c r="O5" s="45" t="s">
        <v>235</v>
      </c>
      <c r="P5" s="46" t="s">
        <v>236</v>
      </c>
      <c r="Q5" s="47" t="s">
        <v>237</v>
      </c>
      <c r="R5" s="47" t="s">
        <v>858</v>
      </c>
      <c r="S5" s="48" t="s">
        <v>239</v>
      </c>
    </row>
    <row r="6" spans="1:19" ht="21.75" customHeight="1" x14ac:dyDescent="0.3">
      <c r="A6" s="74">
        <v>1</v>
      </c>
      <c r="B6" s="75" t="s">
        <v>859</v>
      </c>
      <c r="C6" s="76" t="s">
        <v>134</v>
      </c>
      <c r="D6" s="76"/>
      <c r="E6" s="76" t="s">
        <v>129</v>
      </c>
      <c r="F6" s="75" t="s">
        <v>284</v>
      </c>
      <c r="G6" s="75" t="s">
        <v>245</v>
      </c>
      <c r="H6" s="75" t="s">
        <v>245</v>
      </c>
      <c r="I6" s="75" t="s">
        <v>246</v>
      </c>
      <c r="J6" s="77" t="s">
        <v>246</v>
      </c>
      <c r="K6" s="75">
        <v>1557</v>
      </c>
      <c r="L6" s="75">
        <v>85613</v>
      </c>
      <c r="M6" s="75" t="s">
        <v>245</v>
      </c>
      <c r="N6" s="75" t="s">
        <v>247</v>
      </c>
      <c r="O6" s="75" t="s">
        <v>246</v>
      </c>
      <c r="P6" s="76" t="s">
        <v>860</v>
      </c>
      <c r="Q6" s="76" t="s">
        <v>861</v>
      </c>
      <c r="R6" s="76" t="s">
        <v>862</v>
      </c>
      <c r="S6" s="75" t="s">
        <v>245</v>
      </c>
    </row>
    <row r="7" spans="1:19" ht="21.75" customHeight="1" x14ac:dyDescent="0.3">
      <c r="A7" s="78">
        <v>2</v>
      </c>
      <c r="B7" s="79" t="s">
        <v>859</v>
      </c>
      <c r="C7" s="80" t="s">
        <v>863</v>
      </c>
      <c r="D7" s="80"/>
      <c r="E7" s="80" t="s">
        <v>129</v>
      </c>
      <c r="F7" s="79" t="s">
        <v>284</v>
      </c>
      <c r="G7" s="79" t="s">
        <v>245</v>
      </c>
      <c r="H7" s="79" t="s">
        <v>245</v>
      </c>
      <c r="I7" s="79" t="s">
        <v>246</v>
      </c>
      <c r="J7" s="81" t="s">
        <v>246</v>
      </c>
      <c r="K7" s="79">
        <v>1478</v>
      </c>
      <c r="L7" s="79">
        <v>81305</v>
      </c>
      <c r="M7" s="79" t="s">
        <v>245</v>
      </c>
      <c r="N7" s="79" t="s">
        <v>247</v>
      </c>
      <c r="O7" s="79" t="s">
        <v>246</v>
      </c>
      <c r="P7" s="80" t="s">
        <v>860</v>
      </c>
      <c r="Q7" s="80" t="s">
        <v>861</v>
      </c>
      <c r="R7" s="80" t="s">
        <v>862</v>
      </c>
      <c r="S7" s="79" t="s">
        <v>245</v>
      </c>
    </row>
    <row r="8" spans="1:19" ht="21.75" customHeight="1" x14ac:dyDescent="0.3">
      <c r="A8" s="74">
        <v>3</v>
      </c>
      <c r="B8" s="75" t="s">
        <v>859</v>
      </c>
      <c r="C8" s="76" t="s">
        <v>864</v>
      </c>
      <c r="D8" s="76"/>
      <c r="E8" s="76" t="s">
        <v>129</v>
      </c>
      <c r="F8" s="75" t="s">
        <v>266</v>
      </c>
      <c r="G8" s="75" t="s">
        <v>245</v>
      </c>
      <c r="H8" s="75" t="s">
        <v>245</v>
      </c>
      <c r="I8" s="75" t="s">
        <v>246</v>
      </c>
      <c r="J8" s="77" t="s">
        <v>246</v>
      </c>
      <c r="K8" s="75">
        <v>620</v>
      </c>
      <c r="L8" s="75">
        <v>34114</v>
      </c>
      <c r="M8" s="75" t="s">
        <v>245</v>
      </c>
      <c r="N8" s="75" t="s">
        <v>247</v>
      </c>
      <c r="O8" s="75" t="s">
        <v>246</v>
      </c>
      <c r="P8" s="76" t="s">
        <v>860</v>
      </c>
      <c r="Q8" s="76" t="s">
        <v>861</v>
      </c>
      <c r="R8" s="76" t="s">
        <v>862</v>
      </c>
      <c r="S8" s="75" t="s">
        <v>245</v>
      </c>
    </row>
    <row r="9" spans="1:19" ht="21.75" customHeight="1" x14ac:dyDescent="0.3">
      <c r="A9" s="78">
        <v>4</v>
      </c>
      <c r="B9" s="79" t="s">
        <v>859</v>
      </c>
      <c r="C9" s="80" t="s">
        <v>865</v>
      </c>
      <c r="D9" s="80"/>
      <c r="E9" s="80" t="s">
        <v>129</v>
      </c>
      <c r="F9" s="79" t="s">
        <v>284</v>
      </c>
      <c r="G9" s="79" t="s">
        <v>245</v>
      </c>
      <c r="H9" s="79" t="s">
        <v>245</v>
      </c>
      <c r="I9" s="79" t="s">
        <v>245</v>
      </c>
      <c r="J9" s="81" t="s">
        <v>246</v>
      </c>
      <c r="K9" s="79">
        <v>555</v>
      </c>
      <c r="L9" s="79">
        <v>30523</v>
      </c>
      <c r="M9" s="79" t="s">
        <v>245</v>
      </c>
      <c r="N9" s="79" t="s">
        <v>247</v>
      </c>
      <c r="O9" s="79" t="s">
        <v>246</v>
      </c>
      <c r="P9" s="80" t="s">
        <v>866</v>
      </c>
      <c r="Q9" s="80" t="s">
        <v>861</v>
      </c>
      <c r="R9" s="80" t="s">
        <v>862</v>
      </c>
      <c r="S9" s="79" t="s">
        <v>245</v>
      </c>
    </row>
    <row r="10" spans="1:19" ht="21.75" customHeight="1" x14ac:dyDescent="0.3">
      <c r="A10" s="74">
        <v>5</v>
      </c>
      <c r="B10" s="75" t="s">
        <v>859</v>
      </c>
      <c r="C10" s="76" t="s">
        <v>867</v>
      </c>
      <c r="D10" s="76"/>
      <c r="E10" s="76" t="s">
        <v>129</v>
      </c>
      <c r="F10" s="75" t="s">
        <v>284</v>
      </c>
      <c r="G10" s="75" t="s">
        <v>245</v>
      </c>
      <c r="H10" s="75" t="s">
        <v>245</v>
      </c>
      <c r="I10" s="75" t="s">
        <v>245</v>
      </c>
      <c r="J10" s="75" t="s">
        <v>245</v>
      </c>
      <c r="K10" s="75">
        <v>431</v>
      </c>
      <c r="L10" s="75">
        <v>23723</v>
      </c>
      <c r="M10" s="75" t="s">
        <v>245</v>
      </c>
      <c r="N10" s="75" t="s">
        <v>247</v>
      </c>
      <c r="O10" s="75" t="s">
        <v>246</v>
      </c>
      <c r="P10" s="76" t="s">
        <v>866</v>
      </c>
      <c r="Q10" s="76" t="s">
        <v>868</v>
      </c>
      <c r="R10" s="76" t="s">
        <v>869</v>
      </c>
      <c r="S10" s="75" t="s">
        <v>246</v>
      </c>
    </row>
    <row r="11" spans="1:19" ht="21.75" customHeight="1" x14ac:dyDescent="0.3">
      <c r="A11" s="78">
        <v>6</v>
      </c>
      <c r="B11" s="79" t="s">
        <v>859</v>
      </c>
      <c r="C11" s="80" t="s">
        <v>870</v>
      </c>
      <c r="D11" s="80"/>
      <c r="E11" s="80" t="s">
        <v>129</v>
      </c>
      <c r="F11" s="79" t="s">
        <v>284</v>
      </c>
      <c r="G11" s="79" t="s">
        <v>245</v>
      </c>
      <c r="H11" s="79" t="s">
        <v>245</v>
      </c>
      <c r="I11" s="79" t="s">
        <v>245</v>
      </c>
      <c r="J11" s="81" t="s">
        <v>246</v>
      </c>
      <c r="K11" s="79">
        <v>423</v>
      </c>
      <c r="L11" s="79">
        <v>23284</v>
      </c>
      <c r="M11" s="79" t="s">
        <v>245</v>
      </c>
      <c r="N11" s="79" t="s">
        <v>247</v>
      </c>
      <c r="O11" s="79" t="s">
        <v>246</v>
      </c>
      <c r="P11" s="80" t="s">
        <v>866</v>
      </c>
      <c r="Q11" s="80" t="s">
        <v>861</v>
      </c>
      <c r="R11" s="80" t="s">
        <v>862</v>
      </c>
      <c r="S11" s="79" t="s">
        <v>245</v>
      </c>
    </row>
    <row r="12" spans="1:19" ht="21.75" customHeight="1" x14ac:dyDescent="0.3">
      <c r="A12" s="74">
        <v>7</v>
      </c>
      <c r="B12" s="75" t="s">
        <v>871</v>
      </c>
      <c r="C12" s="76" t="s">
        <v>872</v>
      </c>
      <c r="D12" s="76"/>
      <c r="E12" s="76" t="s">
        <v>129</v>
      </c>
      <c r="F12" s="75" t="s">
        <v>284</v>
      </c>
      <c r="G12" s="75" t="s">
        <v>245</v>
      </c>
      <c r="H12" s="75" t="s">
        <v>245</v>
      </c>
      <c r="I12" s="75" t="s">
        <v>246</v>
      </c>
      <c r="J12" s="77" t="s">
        <v>246</v>
      </c>
      <c r="K12" s="75">
        <v>226</v>
      </c>
      <c r="L12" s="75">
        <v>12433</v>
      </c>
      <c r="M12" s="75" t="s">
        <v>245</v>
      </c>
      <c r="N12" s="75" t="s">
        <v>247</v>
      </c>
      <c r="O12" s="75" t="s">
        <v>246</v>
      </c>
      <c r="P12" s="76" t="s">
        <v>860</v>
      </c>
      <c r="Q12" s="76" t="s">
        <v>861</v>
      </c>
      <c r="R12" s="76" t="s">
        <v>862</v>
      </c>
      <c r="S12" s="75" t="s">
        <v>245</v>
      </c>
    </row>
    <row r="13" spans="1:19" ht="21.75" customHeight="1" x14ac:dyDescent="0.3">
      <c r="A13" s="78">
        <v>8</v>
      </c>
      <c r="B13" s="79" t="s">
        <v>871</v>
      </c>
      <c r="C13" s="80" t="s">
        <v>873</v>
      </c>
      <c r="D13" s="80"/>
      <c r="E13" s="80" t="s">
        <v>129</v>
      </c>
      <c r="F13" s="79" t="s">
        <v>266</v>
      </c>
      <c r="G13" s="79" t="s">
        <v>245</v>
      </c>
      <c r="H13" s="79" t="s">
        <v>245</v>
      </c>
      <c r="I13" s="79" t="s">
        <v>246</v>
      </c>
      <c r="J13" s="81" t="s">
        <v>246</v>
      </c>
      <c r="K13" s="79">
        <v>134</v>
      </c>
      <c r="L13" s="79">
        <v>7371</v>
      </c>
      <c r="M13" s="79" t="s">
        <v>245</v>
      </c>
      <c r="N13" s="79" t="s">
        <v>267</v>
      </c>
      <c r="O13" s="79" t="s">
        <v>246</v>
      </c>
      <c r="P13" s="80" t="s">
        <v>860</v>
      </c>
      <c r="Q13" s="80" t="s">
        <v>861</v>
      </c>
      <c r="R13" s="80" t="s">
        <v>862</v>
      </c>
      <c r="S13" s="79" t="s">
        <v>245</v>
      </c>
    </row>
    <row r="14" spans="1:19" ht="21.75" customHeight="1" x14ac:dyDescent="0.3">
      <c r="A14" s="74">
        <v>9</v>
      </c>
      <c r="B14" s="75" t="s">
        <v>871</v>
      </c>
      <c r="C14" s="76" t="s">
        <v>874</v>
      </c>
      <c r="D14" s="76"/>
      <c r="E14" s="76" t="s">
        <v>129</v>
      </c>
      <c r="F14" s="75" t="s">
        <v>284</v>
      </c>
      <c r="G14" s="75" t="s">
        <v>245</v>
      </c>
      <c r="H14" s="75" t="s">
        <v>245</v>
      </c>
      <c r="I14" s="75" t="s">
        <v>246</v>
      </c>
      <c r="J14" s="77" t="s">
        <v>246</v>
      </c>
      <c r="K14" s="75">
        <v>102</v>
      </c>
      <c r="L14" s="75">
        <v>5591</v>
      </c>
      <c r="M14" s="75" t="s">
        <v>245</v>
      </c>
      <c r="N14" s="75" t="s">
        <v>247</v>
      </c>
      <c r="O14" s="75" t="s">
        <v>246</v>
      </c>
      <c r="P14" s="76" t="s">
        <v>860</v>
      </c>
      <c r="Q14" s="76" t="s">
        <v>861</v>
      </c>
      <c r="R14" s="76" t="s">
        <v>862</v>
      </c>
      <c r="S14" s="75" t="s">
        <v>245</v>
      </c>
    </row>
    <row r="15" spans="1:19" ht="21.75" customHeight="1" x14ac:dyDescent="0.3">
      <c r="A15" s="78">
        <v>10</v>
      </c>
      <c r="B15" s="79" t="s">
        <v>871</v>
      </c>
      <c r="C15" s="80" t="s">
        <v>875</v>
      </c>
      <c r="D15" s="80"/>
      <c r="E15" s="80" t="s">
        <v>129</v>
      </c>
      <c r="F15" s="79" t="s">
        <v>284</v>
      </c>
      <c r="G15" s="79" t="s">
        <v>245</v>
      </c>
      <c r="H15" s="79" t="s">
        <v>245</v>
      </c>
      <c r="I15" s="79" t="s">
        <v>246</v>
      </c>
      <c r="J15" s="79" t="s">
        <v>245</v>
      </c>
      <c r="K15" s="79">
        <v>98</v>
      </c>
      <c r="L15" s="79">
        <v>5386</v>
      </c>
      <c r="M15" s="79" t="s">
        <v>245</v>
      </c>
      <c r="N15" s="79" t="s">
        <v>247</v>
      </c>
      <c r="O15" s="79" t="s">
        <v>246</v>
      </c>
      <c r="P15" s="80" t="s">
        <v>860</v>
      </c>
      <c r="Q15" s="80" t="s">
        <v>868</v>
      </c>
      <c r="R15" s="80" t="s">
        <v>869</v>
      </c>
      <c r="S15" s="79" t="s">
        <v>245</v>
      </c>
    </row>
    <row r="16" spans="1:19" ht="21.75" customHeight="1" x14ac:dyDescent="0.3">
      <c r="A16" s="74">
        <v>11</v>
      </c>
      <c r="B16" s="75" t="s">
        <v>871</v>
      </c>
      <c r="C16" s="76" t="s">
        <v>876</v>
      </c>
      <c r="D16" s="76"/>
      <c r="E16" s="76" t="s">
        <v>129</v>
      </c>
      <c r="F16" s="75" t="s">
        <v>266</v>
      </c>
      <c r="G16" s="75" t="s">
        <v>245</v>
      </c>
      <c r="H16" s="75" t="s">
        <v>245</v>
      </c>
      <c r="I16" s="75" t="s">
        <v>246</v>
      </c>
      <c r="J16" s="77" t="s">
        <v>246</v>
      </c>
      <c r="K16" s="75">
        <v>96</v>
      </c>
      <c r="L16" s="75">
        <v>5257</v>
      </c>
      <c r="M16" s="75" t="s">
        <v>245</v>
      </c>
      <c r="N16" s="75" t="s">
        <v>267</v>
      </c>
      <c r="O16" s="75" t="s">
        <v>246</v>
      </c>
      <c r="P16" s="76" t="s">
        <v>860</v>
      </c>
      <c r="Q16" s="76" t="s">
        <v>861</v>
      </c>
      <c r="R16" s="76" t="s">
        <v>862</v>
      </c>
      <c r="S16" s="75" t="s">
        <v>245</v>
      </c>
    </row>
    <row r="17" spans="1:19" ht="21.75" customHeight="1" x14ac:dyDescent="0.3">
      <c r="A17" s="78">
        <v>12</v>
      </c>
      <c r="B17" s="79" t="s">
        <v>871</v>
      </c>
      <c r="C17" s="80" t="s">
        <v>877</v>
      </c>
      <c r="D17" s="80"/>
      <c r="E17" s="80" t="s">
        <v>129</v>
      </c>
      <c r="F17" s="79" t="s">
        <v>273</v>
      </c>
      <c r="G17" s="79" t="s">
        <v>246</v>
      </c>
      <c r="H17" s="79" t="s">
        <v>246</v>
      </c>
      <c r="I17" s="79" t="s">
        <v>245</v>
      </c>
      <c r="J17" s="81" t="s">
        <v>246</v>
      </c>
      <c r="K17" s="79">
        <v>86</v>
      </c>
      <c r="L17" s="79">
        <v>4729</v>
      </c>
      <c r="M17" s="79" t="s">
        <v>246</v>
      </c>
      <c r="N17" s="79" t="s">
        <v>274</v>
      </c>
      <c r="O17" s="79" t="s">
        <v>246</v>
      </c>
      <c r="P17" s="80" t="s">
        <v>878</v>
      </c>
      <c r="Q17" s="80" t="s">
        <v>861</v>
      </c>
      <c r="R17" s="80" t="s">
        <v>862</v>
      </c>
      <c r="S17" s="79" t="s">
        <v>245</v>
      </c>
    </row>
    <row r="18" spans="1:19" ht="21.75" customHeight="1" x14ac:dyDescent="0.3">
      <c r="A18" s="74">
        <v>13</v>
      </c>
      <c r="B18" s="75" t="s">
        <v>879</v>
      </c>
      <c r="C18" s="76" t="s">
        <v>880</v>
      </c>
      <c r="D18" s="76"/>
      <c r="E18" s="76" t="s">
        <v>129</v>
      </c>
      <c r="F18" s="75" t="s">
        <v>284</v>
      </c>
      <c r="G18" s="75" t="s">
        <v>245</v>
      </c>
      <c r="H18" s="75" t="s">
        <v>245</v>
      </c>
      <c r="I18" s="75" t="s">
        <v>245</v>
      </c>
      <c r="J18" s="75" t="s">
        <v>245</v>
      </c>
      <c r="K18" s="75">
        <v>83</v>
      </c>
      <c r="L18" s="75">
        <v>4576</v>
      </c>
      <c r="M18" s="75" t="s">
        <v>245</v>
      </c>
      <c r="N18" s="75" t="s">
        <v>247</v>
      </c>
      <c r="O18" s="75" t="s">
        <v>246</v>
      </c>
      <c r="P18" s="76" t="s">
        <v>866</v>
      </c>
      <c r="Q18" s="76" t="s">
        <v>868</v>
      </c>
      <c r="R18" s="76" t="s">
        <v>869</v>
      </c>
      <c r="S18" s="75" t="s">
        <v>245</v>
      </c>
    </row>
    <row r="19" spans="1:19" ht="21.75" customHeight="1" x14ac:dyDescent="0.3">
      <c r="A19" s="78">
        <v>14</v>
      </c>
      <c r="B19" s="79" t="s">
        <v>879</v>
      </c>
      <c r="C19" s="80" t="s">
        <v>881</v>
      </c>
      <c r="D19" s="80"/>
      <c r="E19" s="80" t="s">
        <v>129</v>
      </c>
      <c r="F19" s="79" t="s">
        <v>284</v>
      </c>
      <c r="G19" s="79" t="s">
        <v>245</v>
      </c>
      <c r="H19" s="79" t="s">
        <v>245</v>
      </c>
      <c r="I19" s="79" t="s">
        <v>246</v>
      </c>
      <c r="J19" s="81" t="s">
        <v>246</v>
      </c>
      <c r="K19" s="79">
        <v>81</v>
      </c>
      <c r="L19" s="79">
        <v>4462</v>
      </c>
      <c r="M19" s="79" t="s">
        <v>245</v>
      </c>
      <c r="N19" s="79" t="s">
        <v>247</v>
      </c>
      <c r="O19" s="79" t="s">
        <v>246</v>
      </c>
      <c r="P19" s="80" t="s">
        <v>860</v>
      </c>
      <c r="Q19" s="80" t="s">
        <v>861</v>
      </c>
      <c r="R19" s="80" t="s">
        <v>862</v>
      </c>
      <c r="S19" s="79" t="s">
        <v>245</v>
      </c>
    </row>
    <row r="20" spans="1:19" ht="21.75" customHeight="1" x14ac:dyDescent="0.3">
      <c r="A20" s="74">
        <v>15</v>
      </c>
      <c r="B20" s="75" t="s">
        <v>879</v>
      </c>
      <c r="C20" s="76" t="s">
        <v>882</v>
      </c>
      <c r="D20" s="76"/>
      <c r="E20" s="76" t="s">
        <v>129</v>
      </c>
      <c r="F20" s="75" t="s">
        <v>284</v>
      </c>
      <c r="G20" s="75" t="s">
        <v>245</v>
      </c>
      <c r="H20" s="75" t="s">
        <v>245</v>
      </c>
      <c r="I20" s="75" t="s">
        <v>246</v>
      </c>
      <c r="J20" s="75" t="s">
        <v>245</v>
      </c>
      <c r="K20" s="75">
        <v>79</v>
      </c>
      <c r="L20" s="75">
        <v>4354</v>
      </c>
      <c r="M20" s="75" t="s">
        <v>245</v>
      </c>
      <c r="N20" s="75" t="s">
        <v>247</v>
      </c>
      <c r="O20" s="75" t="s">
        <v>246</v>
      </c>
      <c r="P20" s="76" t="s">
        <v>860</v>
      </c>
      <c r="Q20" s="76" t="s">
        <v>868</v>
      </c>
      <c r="R20" s="76" t="s">
        <v>869</v>
      </c>
      <c r="S20" s="75" t="s">
        <v>246</v>
      </c>
    </row>
    <row r="21" spans="1:19" ht="21.75" customHeight="1" x14ac:dyDescent="0.3">
      <c r="A21" s="78">
        <v>16</v>
      </c>
      <c r="B21" s="79" t="s">
        <v>879</v>
      </c>
      <c r="C21" s="80" t="s">
        <v>883</v>
      </c>
      <c r="D21" s="80"/>
      <c r="E21" s="80" t="s">
        <v>129</v>
      </c>
      <c r="F21" s="79" t="s">
        <v>284</v>
      </c>
      <c r="G21" s="79" t="s">
        <v>245</v>
      </c>
      <c r="H21" s="79" t="s">
        <v>245</v>
      </c>
      <c r="I21" s="79" t="s">
        <v>245</v>
      </c>
      <c r="J21" s="81" t="s">
        <v>246</v>
      </c>
      <c r="K21" s="79">
        <v>76</v>
      </c>
      <c r="L21" s="79">
        <v>4178</v>
      </c>
      <c r="M21" s="79" t="s">
        <v>245</v>
      </c>
      <c r="N21" s="79" t="s">
        <v>247</v>
      </c>
      <c r="O21" s="79" t="s">
        <v>246</v>
      </c>
      <c r="P21" s="80" t="s">
        <v>866</v>
      </c>
      <c r="Q21" s="80" t="s">
        <v>861</v>
      </c>
      <c r="R21" s="80" t="s">
        <v>862</v>
      </c>
      <c r="S21" s="79" t="s">
        <v>245</v>
      </c>
    </row>
    <row r="22" spans="1:19" ht="21.75" customHeight="1" x14ac:dyDescent="0.3">
      <c r="A22" s="74">
        <v>17</v>
      </c>
      <c r="B22" s="75" t="s">
        <v>879</v>
      </c>
      <c r="C22" s="76" t="s">
        <v>884</v>
      </c>
      <c r="D22" s="76"/>
      <c r="E22" s="76" t="s">
        <v>129</v>
      </c>
      <c r="F22" s="75" t="s">
        <v>284</v>
      </c>
      <c r="G22" s="75" t="s">
        <v>245</v>
      </c>
      <c r="H22" s="75" t="s">
        <v>245</v>
      </c>
      <c r="I22" s="75" t="s">
        <v>246</v>
      </c>
      <c r="J22" s="77" t="s">
        <v>246</v>
      </c>
      <c r="K22" s="75">
        <v>64</v>
      </c>
      <c r="L22" s="75">
        <v>3545</v>
      </c>
      <c r="M22" s="75" t="s">
        <v>245</v>
      </c>
      <c r="N22" s="75" t="s">
        <v>247</v>
      </c>
      <c r="O22" s="75" t="s">
        <v>246</v>
      </c>
      <c r="P22" s="76" t="s">
        <v>860</v>
      </c>
      <c r="Q22" s="76" t="s">
        <v>861</v>
      </c>
      <c r="R22" s="76" t="s">
        <v>862</v>
      </c>
      <c r="S22" s="75" t="s">
        <v>245</v>
      </c>
    </row>
    <row r="23" spans="1:19" ht="21.75" customHeight="1" x14ac:dyDescent="0.3">
      <c r="A23" s="78">
        <v>18</v>
      </c>
      <c r="B23" s="79" t="s">
        <v>879</v>
      </c>
      <c r="C23" s="80" t="s">
        <v>885</v>
      </c>
      <c r="D23" s="80"/>
      <c r="E23" s="80" t="s">
        <v>129</v>
      </c>
      <c r="F23" s="79" t="s">
        <v>284</v>
      </c>
      <c r="G23" s="79" t="s">
        <v>245</v>
      </c>
      <c r="H23" s="79" t="s">
        <v>245</v>
      </c>
      <c r="I23" s="79" t="s">
        <v>246</v>
      </c>
      <c r="J23" s="81" t="s">
        <v>246</v>
      </c>
      <c r="K23" s="79">
        <v>57</v>
      </c>
      <c r="L23" s="79">
        <v>3151</v>
      </c>
      <c r="M23" s="79" t="s">
        <v>245</v>
      </c>
      <c r="N23" s="79" t="s">
        <v>247</v>
      </c>
      <c r="O23" s="79" t="s">
        <v>246</v>
      </c>
      <c r="P23" s="80" t="s">
        <v>860</v>
      </c>
      <c r="Q23" s="80" t="s">
        <v>861</v>
      </c>
      <c r="R23" s="80" t="s">
        <v>862</v>
      </c>
      <c r="S23" s="79" t="s">
        <v>245</v>
      </c>
    </row>
    <row r="24" spans="1:19" ht="21.75" customHeight="1" x14ac:dyDescent="0.3">
      <c r="A24" s="74">
        <v>19</v>
      </c>
      <c r="B24" s="75" t="s">
        <v>886</v>
      </c>
      <c r="C24" s="76" t="s">
        <v>887</v>
      </c>
      <c r="D24" s="76"/>
      <c r="E24" s="76" t="s">
        <v>129</v>
      </c>
      <c r="F24" s="75" t="s">
        <v>284</v>
      </c>
      <c r="G24" s="75" t="s">
        <v>245</v>
      </c>
      <c r="H24" s="75" t="s">
        <v>245</v>
      </c>
      <c r="I24" s="75" t="s">
        <v>246</v>
      </c>
      <c r="J24" s="77" t="s">
        <v>246</v>
      </c>
      <c r="K24" s="75">
        <v>20</v>
      </c>
      <c r="L24" s="75">
        <v>1110</v>
      </c>
      <c r="M24" s="75" t="s">
        <v>245</v>
      </c>
      <c r="N24" s="75" t="s">
        <v>247</v>
      </c>
      <c r="O24" s="75" t="s">
        <v>246</v>
      </c>
      <c r="P24" s="76" t="s">
        <v>860</v>
      </c>
      <c r="Q24" s="76" t="s">
        <v>888</v>
      </c>
      <c r="R24" s="76" t="s">
        <v>889</v>
      </c>
      <c r="S24" s="75" t="s">
        <v>245</v>
      </c>
    </row>
    <row r="25" spans="1:19" ht="21.75" customHeight="1" x14ac:dyDescent="0.3">
      <c r="A25" s="78">
        <v>20</v>
      </c>
      <c r="B25" s="79" t="s">
        <v>886</v>
      </c>
      <c r="C25" s="80" t="s">
        <v>890</v>
      </c>
      <c r="D25" s="80"/>
      <c r="E25" s="80" t="s">
        <v>129</v>
      </c>
      <c r="F25" s="79" t="s">
        <v>891</v>
      </c>
      <c r="G25" s="79" t="s">
        <v>245</v>
      </c>
      <c r="H25" s="79" t="s">
        <v>245</v>
      </c>
      <c r="I25" s="79" t="s">
        <v>246</v>
      </c>
      <c r="J25" s="79" t="s">
        <v>245</v>
      </c>
      <c r="K25" s="79">
        <v>1</v>
      </c>
      <c r="L25" s="79">
        <v>0</v>
      </c>
      <c r="M25" s="79" t="s">
        <v>245</v>
      </c>
      <c r="N25" s="79" t="s">
        <v>267</v>
      </c>
      <c r="O25" s="79" t="s">
        <v>246</v>
      </c>
      <c r="P25" s="80" t="s">
        <v>860</v>
      </c>
      <c r="Q25" s="80" t="s">
        <v>892</v>
      </c>
      <c r="R25" s="80" t="s">
        <v>889</v>
      </c>
      <c r="S25" s="79" t="s">
        <v>245</v>
      </c>
    </row>
    <row r="26" spans="1:19" ht="21.75" customHeight="1" x14ac:dyDescent="0.3">
      <c r="A26" s="74">
        <v>21</v>
      </c>
      <c r="B26" s="75" t="s">
        <v>886</v>
      </c>
      <c r="C26" s="76" t="s">
        <v>893</v>
      </c>
      <c r="D26" s="76"/>
      <c r="E26" s="76" t="s">
        <v>129</v>
      </c>
      <c r="F26" s="75" t="s">
        <v>260</v>
      </c>
      <c r="G26" s="75" t="s">
        <v>245</v>
      </c>
      <c r="H26" s="75" t="s">
        <v>245</v>
      </c>
      <c r="I26" s="75" t="s">
        <v>245</v>
      </c>
      <c r="J26" s="77" t="s">
        <v>246</v>
      </c>
      <c r="K26" s="75">
        <v>20</v>
      </c>
      <c r="L26" s="75">
        <v>1110</v>
      </c>
      <c r="M26" s="75" t="s">
        <v>245</v>
      </c>
      <c r="N26" s="75" t="s">
        <v>247</v>
      </c>
      <c r="O26" s="75" t="s">
        <v>246</v>
      </c>
      <c r="P26" s="76" t="s">
        <v>866</v>
      </c>
      <c r="Q26" s="76" t="s">
        <v>888</v>
      </c>
      <c r="R26" s="76" t="s">
        <v>889</v>
      </c>
      <c r="S26" s="75" t="s">
        <v>245</v>
      </c>
    </row>
    <row r="27" spans="1:19" ht="21.75" customHeight="1" x14ac:dyDescent="0.3">
      <c r="A27" s="78">
        <v>22</v>
      </c>
      <c r="B27" s="79" t="s">
        <v>886</v>
      </c>
      <c r="C27" s="80" t="s">
        <v>894</v>
      </c>
      <c r="D27" s="80"/>
      <c r="E27" s="80" t="s">
        <v>129</v>
      </c>
      <c r="F27" s="79" t="s">
        <v>891</v>
      </c>
      <c r="G27" s="79" t="s">
        <v>245</v>
      </c>
      <c r="H27" s="79" t="s">
        <v>245</v>
      </c>
      <c r="I27" s="79" t="s">
        <v>245</v>
      </c>
      <c r="J27" s="81" t="s">
        <v>246</v>
      </c>
      <c r="K27" s="79">
        <v>47</v>
      </c>
      <c r="L27" s="79">
        <v>2584</v>
      </c>
      <c r="M27" s="79" t="s">
        <v>245</v>
      </c>
      <c r="N27" s="79" t="s">
        <v>267</v>
      </c>
      <c r="O27" s="79" t="s">
        <v>246</v>
      </c>
      <c r="P27" s="80" t="s">
        <v>866</v>
      </c>
      <c r="Q27" s="80" t="s">
        <v>888</v>
      </c>
      <c r="R27" s="80" t="s">
        <v>889</v>
      </c>
      <c r="S27" s="79" t="s">
        <v>245</v>
      </c>
    </row>
    <row r="28" spans="1:19" ht="21.75" customHeight="1" x14ac:dyDescent="0.3">
      <c r="A28" s="74">
        <v>23</v>
      </c>
      <c r="B28" s="75" t="s">
        <v>886</v>
      </c>
      <c r="C28" s="76" t="s">
        <v>895</v>
      </c>
      <c r="D28" s="76"/>
      <c r="E28" s="76" t="s">
        <v>129</v>
      </c>
      <c r="F28" s="75" t="s">
        <v>891</v>
      </c>
      <c r="G28" s="75" t="s">
        <v>245</v>
      </c>
      <c r="H28" s="75" t="s">
        <v>245</v>
      </c>
      <c r="I28" s="75" t="s">
        <v>245</v>
      </c>
      <c r="J28" s="77" t="s">
        <v>246</v>
      </c>
      <c r="K28" s="75">
        <v>65</v>
      </c>
      <c r="L28" s="75">
        <v>3589</v>
      </c>
      <c r="M28" s="75" t="s">
        <v>245</v>
      </c>
      <c r="N28" s="75" t="s">
        <v>267</v>
      </c>
      <c r="O28" s="75" t="s">
        <v>246</v>
      </c>
      <c r="P28" s="76" t="s">
        <v>866</v>
      </c>
      <c r="Q28" s="76" t="s">
        <v>888</v>
      </c>
      <c r="R28" s="76" t="s">
        <v>889</v>
      </c>
      <c r="S28" s="75" t="s">
        <v>245</v>
      </c>
    </row>
    <row r="29" spans="1:19" ht="21.75" customHeight="1" x14ac:dyDescent="0.3">
      <c r="A29" s="78">
        <v>24</v>
      </c>
      <c r="B29" s="79" t="s">
        <v>886</v>
      </c>
      <c r="C29" s="80" t="s">
        <v>896</v>
      </c>
      <c r="D29" s="80"/>
      <c r="E29" s="80" t="s">
        <v>129</v>
      </c>
      <c r="F29" s="79" t="s">
        <v>284</v>
      </c>
      <c r="G29" s="79" t="s">
        <v>245</v>
      </c>
      <c r="H29" s="79" t="s">
        <v>245</v>
      </c>
      <c r="I29" s="79" t="s">
        <v>246</v>
      </c>
      <c r="J29" s="81" t="s">
        <v>246</v>
      </c>
      <c r="K29" s="79">
        <v>1</v>
      </c>
      <c r="L29" s="79">
        <v>0</v>
      </c>
      <c r="M29" s="79" t="s">
        <v>245</v>
      </c>
      <c r="N29" s="79" t="s">
        <v>247</v>
      </c>
      <c r="O29" s="79" t="s">
        <v>246</v>
      </c>
      <c r="P29" s="80" t="s">
        <v>860</v>
      </c>
      <c r="Q29" s="80" t="s">
        <v>888</v>
      </c>
      <c r="R29" s="80" t="s">
        <v>889</v>
      </c>
      <c r="S29" s="79" t="s">
        <v>245</v>
      </c>
    </row>
    <row r="30" spans="1:19" ht="21.75" customHeight="1" x14ac:dyDescent="0.3">
      <c r="A30" s="74">
        <v>25</v>
      </c>
      <c r="B30" s="75" t="s">
        <v>897</v>
      </c>
      <c r="C30" s="76" t="s">
        <v>898</v>
      </c>
      <c r="D30" s="76"/>
      <c r="E30" s="76" t="s">
        <v>129</v>
      </c>
      <c r="F30" s="75" t="s">
        <v>273</v>
      </c>
      <c r="G30" s="75" t="s">
        <v>246</v>
      </c>
      <c r="H30" s="75" t="s">
        <v>246</v>
      </c>
      <c r="I30" s="75" t="s">
        <v>245</v>
      </c>
      <c r="J30" s="75" t="s">
        <v>245</v>
      </c>
      <c r="K30" s="75">
        <v>52</v>
      </c>
      <c r="L30" s="75">
        <v>2848</v>
      </c>
      <c r="M30" s="75" t="s">
        <v>246</v>
      </c>
      <c r="N30" s="75" t="s">
        <v>274</v>
      </c>
      <c r="O30" s="75" t="s">
        <v>246</v>
      </c>
      <c r="P30" s="76" t="s">
        <v>878</v>
      </c>
      <c r="Q30" s="76" t="s">
        <v>892</v>
      </c>
      <c r="R30" s="76" t="s">
        <v>889</v>
      </c>
      <c r="S30" s="75" t="s">
        <v>245</v>
      </c>
    </row>
    <row r="31" spans="1:19" ht="21.75" customHeight="1" x14ac:dyDescent="0.3">
      <c r="A31" s="78">
        <v>26</v>
      </c>
      <c r="B31" s="79" t="s">
        <v>897</v>
      </c>
      <c r="C31" s="80" t="s">
        <v>899</v>
      </c>
      <c r="D31" s="80"/>
      <c r="E31" s="80" t="s">
        <v>129</v>
      </c>
      <c r="F31" s="79" t="s">
        <v>284</v>
      </c>
      <c r="G31" s="79" t="s">
        <v>245</v>
      </c>
      <c r="H31" s="79" t="s">
        <v>245</v>
      </c>
      <c r="I31" s="79" t="s">
        <v>246</v>
      </c>
      <c r="J31" s="81" t="s">
        <v>246</v>
      </c>
      <c r="K31" s="79">
        <v>25</v>
      </c>
      <c r="L31" s="79">
        <v>1399</v>
      </c>
      <c r="M31" s="79" t="s">
        <v>245</v>
      </c>
      <c r="N31" s="79" t="s">
        <v>247</v>
      </c>
      <c r="O31" s="79" t="s">
        <v>246</v>
      </c>
      <c r="P31" s="80" t="s">
        <v>860</v>
      </c>
      <c r="Q31" s="80" t="s">
        <v>888</v>
      </c>
      <c r="R31" s="80" t="s">
        <v>889</v>
      </c>
      <c r="S31" s="79" t="s">
        <v>245</v>
      </c>
    </row>
    <row r="32" spans="1:19" ht="21.75" customHeight="1" x14ac:dyDescent="0.3">
      <c r="A32" s="74">
        <v>27</v>
      </c>
      <c r="B32" s="75" t="s">
        <v>897</v>
      </c>
      <c r="C32" s="76" t="s">
        <v>900</v>
      </c>
      <c r="D32" s="76"/>
      <c r="E32" s="76" t="s">
        <v>129</v>
      </c>
      <c r="F32" s="75" t="s">
        <v>284</v>
      </c>
      <c r="G32" s="75" t="s">
        <v>246</v>
      </c>
      <c r="H32" s="75" t="s">
        <v>245</v>
      </c>
      <c r="I32" s="75" t="s">
        <v>246</v>
      </c>
      <c r="J32" s="77" t="s">
        <v>246</v>
      </c>
      <c r="K32" s="75">
        <v>1</v>
      </c>
      <c r="L32" s="75">
        <v>0</v>
      </c>
      <c r="M32" s="75" t="s">
        <v>245</v>
      </c>
      <c r="N32" s="75" t="s">
        <v>247</v>
      </c>
      <c r="O32" s="75" t="s">
        <v>246</v>
      </c>
      <c r="P32" s="76" t="s">
        <v>406</v>
      </c>
      <c r="Q32" s="76" t="s">
        <v>888</v>
      </c>
      <c r="R32" s="76" t="s">
        <v>889</v>
      </c>
      <c r="S32" s="75" t="s">
        <v>245</v>
      </c>
    </row>
    <row r="33" spans="1:19" ht="21.75" customHeight="1" x14ac:dyDescent="0.3">
      <c r="A33" s="78">
        <v>28</v>
      </c>
      <c r="B33" s="79" t="s">
        <v>897</v>
      </c>
      <c r="C33" s="80" t="s">
        <v>901</v>
      </c>
      <c r="D33" s="80"/>
      <c r="E33" s="80" t="s">
        <v>129</v>
      </c>
      <c r="F33" s="79" t="s">
        <v>284</v>
      </c>
      <c r="G33" s="79" t="s">
        <v>246</v>
      </c>
      <c r="H33" s="79" t="s">
        <v>245</v>
      </c>
      <c r="I33" s="79" t="s">
        <v>246</v>
      </c>
      <c r="J33" s="81" t="s">
        <v>246</v>
      </c>
      <c r="K33" s="79">
        <v>20</v>
      </c>
      <c r="L33" s="79">
        <v>1110</v>
      </c>
      <c r="M33" s="79" t="s">
        <v>245</v>
      </c>
      <c r="N33" s="79" t="s">
        <v>247</v>
      </c>
      <c r="O33" s="79" t="s">
        <v>246</v>
      </c>
      <c r="P33" s="80" t="s">
        <v>406</v>
      </c>
      <c r="Q33" s="80" t="s">
        <v>888</v>
      </c>
      <c r="R33" s="80" t="s">
        <v>889</v>
      </c>
      <c r="S33" s="79" t="s">
        <v>245</v>
      </c>
    </row>
    <row r="34" spans="1:19" ht="21.75" customHeight="1" x14ac:dyDescent="0.3">
      <c r="A34" s="74">
        <v>29</v>
      </c>
      <c r="B34" s="75" t="s">
        <v>897</v>
      </c>
      <c r="C34" s="76" t="s">
        <v>902</v>
      </c>
      <c r="D34" s="76"/>
      <c r="E34" s="76" t="s">
        <v>129</v>
      </c>
      <c r="F34" s="75" t="s">
        <v>284</v>
      </c>
      <c r="G34" s="75" t="s">
        <v>246</v>
      </c>
      <c r="H34" s="75" t="s">
        <v>245</v>
      </c>
      <c r="I34" s="75" t="s">
        <v>246</v>
      </c>
      <c r="J34" s="77" t="s">
        <v>246</v>
      </c>
      <c r="K34" s="75">
        <v>30</v>
      </c>
      <c r="L34" s="75">
        <v>1670</v>
      </c>
      <c r="M34" s="75" t="s">
        <v>245</v>
      </c>
      <c r="N34" s="75" t="s">
        <v>247</v>
      </c>
      <c r="O34" s="75" t="s">
        <v>246</v>
      </c>
      <c r="P34" s="76" t="s">
        <v>406</v>
      </c>
      <c r="Q34" s="76" t="s">
        <v>888</v>
      </c>
      <c r="R34" s="76" t="s">
        <v>889</v>
      </c>
      <c r="S34" s="75" t="s">
        <v>245</v>
      </c>
    </row>
    <row r="35" spans="1:19" ht="21.75" customHeight="1" x14ac:dyDescent="0.3">
      <c r="A35" s="78">
        <v>30</v>
      </c>
      <c r="B35" s="79" t="s">
        <v>897</v>
      </c>
      <c r="C35" s="80" t="s">
        <v>903</v>
      </c>
      <c r="D35" s="80"/>
      <c r="E35" s="80" t="s">
        <v>129</v>
      </c>
      <c r="F35" s="79" t="s">
        <v>273</v>
      </c>
      <c r="G35" s="79" t="s">
        <v>246</v>
      </c>
      <c r="H35" s="79" t="s">
        <v>246</v>
      </c>
      <c r="I35" s="79" t="s">
        <v>245</v>
      </c>
      <c r="J35" s="81" t="s">
        <v>246</v>
      </c>
      <c r="K35" s="79">
        <v>1</v>
      </c>
      <c r="L35" s="79">
        <v>0</v>
      </c>
      <c r="M35" s="79" t="s">
        <v>246</v>
      </c>
      <c r="N35" s="79" t="s">
        <v>274</v>
      </c>
      <c r="O35" s="79" t="s">
        <v>246</v>
      </c>
      <c r="P35" s="80" t="s">
        <v>878</v>
      </c>
      <c r="Q35" s="80" t="s">
        <v>888</v>
      </c>
      <c r="R35" s="80" t="s">
        <v>889</v>
      </c>
      <c r="S35" s="79" t="s">
        <v>245</v>
      </c>
    </row>
    <row r="36" spans="1:19" ht="21.75" customHeight="1" x14ac:dyDescent="0.3">
      <c r="A36" s="82">
        <v>31</v>
      </c>
      <c r="B36" s="83" t="s">
        <v>904</v>
      </c>
      <c r="C36" s="84" t="s">
        <v>905</v>
      </c>
      <c r="D36" s="84"/>
      <c r="E36" s="84" t="s">
        <v>135</v>
      </c>
      <c r="F36" s="83" t="s">
        <v>284</v>
      </c>
      <c r="G36" s="83" t="s">
        <v>245</v>
      </c>
      <c r="H36" s="83" t="s">
        <v>245</v>
      </c>
      <c r="I36" s="83" t="s">
        <v>246</v>
      </c>
      <c r="J36" s="85" t="s">
        <v>246</v>
      </c>
      <c r="K36" s="83">
        <v>6601</v>
      </c>
      <c r="L36" s="83">
        <v>363060</v>
      </c>
      <c r="M36" s="83" t="s">
        <v>245</v>
      </c>
      <c r="N36" s="83" t="s">
        <v>247</v>
      </c>
      <c r="O36" s="83" t="s">
        <v>246</v>
      </c>
      <c r="P36" s="84" t="s">
        <v>860</v>
      </c>
      <c r="Q36" s="84" t="s">
        <v>861</v>
      </c>
      <c r="R36" s="84" t="s">
        <v>862</v>
      </c>
      <c r="S36" s="83" t="s">
        <v>245</v>
      </c>
    </row>
    <row r="37" spans="1:19" ht="21.75" customHeight="1" x14ac:dyDescent="0.3">
      <c r="A37" s="86">
        <v>32</v>
      </c>
      <c r="B37" s="87" t="s">
        <v>904</v>
      </c>
      <c r="C37" s="88" t="s">
        <v>906</v>
      </c>
      <c r="D37" s="88"/>
      <c r="E37" s="88" t="s">
        <v>135</v>
      </c>
      <c r="F37" s="87" t="s">
        <v>284</v>
      </c>
      <c r="G37" s="87" t="s">
        <v>245</v>
      </c>
      <c r="H37" s="87" t="s">
        <v>245</v>
      </c>
      <c r="I37" s="87" t="s">
        <v>245</v>
      </c>
      <c r="J37" s="89" t="s">
        <v>246</v>
      </c>
      <c r="K37" s="87">
        <v>6125</v>
      </c>
      <c r="L37" s="87">
        <v>336892</v>
      </c>
      <c r="M37" s="87" t="s">
        <v>245</v>
      </c>
      <c r="N37" s="87" t="s">
        <v>247</v>
      </c>
      <c r="O37" s="87" t="s">
        <v>246</v>
      </c>
      <c r="P37" s="88" t="s">
        <v>866</v>
      </c>
      <c r="Q37" s="88" t="s">
        <v>861</v>
      </c>
      <c r="R37" s="88" t="s">
        <v>862</v>
      </c>
      <c r="S37" s="87" t="s">
        <v>245</v>
      </c>
    </row>
    <row r="38" spans="1:19" ht="21.75" customHeight="1" x14ac:dyDescent="0.3">
      <c r="A38" s="82">
        <v>33</v>
      </c>
      <c r="B38" s="83" t="s">
        <v>904</v>
      </c>
      <c r="C38" s="84" t="s">
        <v>907</v>
      </c>
      <c r="D38" s="84"/>
      <c r="E38" s="84" t="s">
        <v>135</v>
      </c>
      <c r="F38" s="83" t="s">
        <v>284</v>
      </c>
      <c r="G38" s="83" t="s">
        <v>245</v>
      </c>
      <c r="H38" s="83" t="s">
        <v>245</v>
      </c>
      <c r="I38" s="83" t="s">
        <v>246</v>
      </c>
      <c r="J38" s="85" t="s">
        <v>246</v>
      </c>
      <c r="K38" s="83">
        <v>5308</v>
      </c>
      <c r="L38" s="83">
        <v>291955</v>
      </c>
      <c r="M38" s="83" t="s">
        <v>245</v>
      </c>
      <c r="N38" s="83" t="s">
        <v>247</v>
      </c>
      <c r="O38" s="83" t="s">
        <v>246</v>
      </c>
      <c r="P38" s="84" t="s">
        <v>860</v>
      </c>
      <c r="Q38" s="84" t="s">
        <v>861</v>
      </c>
      <c r="R38" s="84" t="s">
        <v>862</v>
      </c>
      <c r="S38" s="83" t="s">
        <v>245</v>
      </c>
    </row>
    <row r="39" spans="1:19" ht="21.75" customHeight="1" x14ac:dyDescent="0.3">
      <c r="A39" s="86">
        <v>34</v>
      </c>
      <c r="B39" s="87" t="s">
        <v>904</v>
      </c>
      <c r="C39" s="88" t="s">
        <v>908</v>
      </c>
      <c r="D39" s="88"/>
      <c r="E39" s="88" t="s">
        <v>135</v>
      </c>
      <c r="F39" s="87" t="s">
        <v>284</v>
      </c>
      <c r="G39" s="87" t="s">
        <v>245</v>
      </c>
      <c r="H39" s="87" t="s">
        <v>245</v>
      </c>
      <c r="I39" s="87" t="s">
        <v>246</v>
      </c>
      <c r="J39" s="89" t="s">
        <v>246</v>
      </c>
      <c r="K39" s="87">
        <v>1820</v>
      </c>
      <c r="L39" s="87">
        <v>100083</v>
      </c>
      <c r="M39" s="87" t="s">
        <v>245</v>
      </c>
      <c r="N39" s="87" t="s">
        <v>247</v>
      </c>
      <c r="O39" s="87" t="s">
        <v>246</v>
      </c>
      <c r="P39" s="88" t="s">
        <v>860</v>
      </c>
      <c r="Q39" s="88" t="s">
        <v>861</v>
      </c>
      <c r="R39" s="88" t="s">
        <v>862</v>
      </c>
      <c r="S39" s="87" t="s">
        <v>245</v>
      </c>
    </row>
    <row r="40" spans="1:19" ht="21.75" customHeight="1" x14ac:dyDescent="0.3">
      <c r="A40" s="82">
        <v>35</v>
      </c>
      <c r="B40" s="83" t="s">
        <v>904</v>
      </c>
      <c r="C40" s="84" t="s">
        <v>909</v>
      </c>
      <c r="D40" s="84"/>
      <c r="E40" s="84" t="s">
        <v>135</v>
      </c>
      <c r="F40" s="83" t="s">
        <v>284</v>
      </c>
      <c r="G40" s="83" t="s">
        <v>246</v>
      </c>
      <c r="H40" s="83" t="s">
        <v>245</v>
      </c>
      <c r="I40" s="83" t="s">
        <v>246</v>
      </c>
      <c r="J40" s="85" t="s">
        <v>246</v>
      </c>
      <c r="K40" s="83">
        <v>1104</v>
      </c>
      <c r="L40" s="83">
        <v>60730</v>
      </c>
      <c r="M40" s="83" t="s">
        <v>245</v>
      </c>
      <c r="N40" s="83" t="s">
        <v>247</v>
      </c>
      <c r="O40" s="83" t="s">
        <v>246</v>
      </c>
      <c r="P40" s="84" t="s">
        <v>406</v>
      </c>
      <c r="Q40" s="84" t="s">
        <v>861</v>
      </c>
      <c r="R40" s="84" t="s">
        <v>862</v>
      </c>
      <c r="S40" s="83" t="s">
        <v>245</v>
      </c>
    </row>
    <row r="41" spans="1:19" ht="21.75" customHeight="1" x14ac:dyDescent="0.3">
      <c r="A41" s="86">
        <v>36</v>
      </c>
      <c r="B41" s="87" t="s">
        <v>904</v>
      </c>
      <c r="C41" s="88" t="s">
        <v>910</v>
      </c>
      <c r="D41" s="88"/>
      <c r="E41" s="88" t="s">
        <v>135</v>
      </c>
      <c r="F41" s="87" t="s">
        <v>266</v>
      </c>
      <c r="G41" s="87" t="s">
        <v>245</v>
      </c>
      <c r="H41" s="87" t="s">
        <v>245</v>
      </c>
      <c r="I41" s="87" t="s">
        <v>246</v>
      </c>
      <c r="J41" s="89" t="s">
        <v>246</v>
      </c>
      <c r="K41" s="87">
        <v>955</v>
      </c>
      <c r="L41" s="87">
        <v>52500</v>
      </c>
      <c r="M41" s="87" t="s">
        <v>245</v>
      </c>
      <c r="N41" s="87" t="s">
        <v>267</v>
      </c>
      <c r="O41" s="87" t="s">
        <v>246</v>
      </c>
      <c r="P41" s="88" t="s">
        <v>860</v>
      </c>
      <c r="Q41" s="88" t="s">
        <v>861</v>
      </c>
      <c r="R41" s="88" t="s">
        <v>862</v>
      </c>
      <c r="S41" s="87" t="s">
        <v>245</v>
      </c>
    </row>
    <row r="42" spans="1:19" ht="21.75" customHeight="1" x14ac:dyDescent="0.3">
      <c r="A42" s="82">
        <v>37</v>
      </c>
      <c r="B42" s="83" t="s">
        <v>911</v>
      </c>
      <c r="C42" s="84" t="s">
        <v>912</v>
      </c>
      <c r="D42" s="84"/>
      <c r="E42" s="84" t="s">
        <v>135</v>
      </c>
      <c r="F42" s="83" t="s">
        <v>284</v>
      </c>
      <c r="G42" s="83" t="s">
        <v>245</v>
      </c>
      <c r="H42" s="83" t="s">
        <v>245</v>
      </c>
      <c r="I42" s="83" t="s">
        <v>246</v>
      </c>
      <c r="J42" s="85" t="s">
        <v>246</v>
      </c>
      <c r="K42" s="83">
        <v>799</v>
      </c>
      <c r="L42" s="83">
        <v>43963</v>
      </c>
      <c r="M42" s="83" t="s">
        <v>245</v>
      </c>
      <c r="N42" s="83" t="s">
        <v>247</v>
      </c>
      <c r="O42" s="83" t="s">
        <v>246</v>
      </c>
      <c r="P42" s="84" t="s">
        <v>860</v>
      </c>
      <c r="Q42" s="84" t="s">
        <v>861</v>
      </c>
      <c r="R42" s="84" t="s">
        <v>862</v>
      </c>
      <c r="S42" s="83" t="s">
        <v>245</v>
      </c>
    </row>
    <row r="43" spans="1:19" ht="21.75" customHeight="1" x14ac:dyDescent="0.3">
      <c r="A43" s="86">
        <v>38</v>
      </c>
      <c r="B43" s="87" t="s">
        <v>911</v>
      </c>
      <c r="C43" s="88" t="s">
        <v>913</v>
      </c>
      <c r="D43" s="88"/>
      <c r="E43" s="88" t="s">
        <v>135</v>
      </c>
      <c r="F43" s="87" t="s">
        <v>266</v>
      </c>
      <c r="G43" s="87" t="s">
        <v>245</v>
      </c>
      <c r="H43" s="87" t="s">
        <v>245</v>
      </c>
      <c r="I43" s="87" t="s">
        <v>246</v>
      </c>
      <c r="J43" s="89" t="s">
        <v>246</v>
      </c>
      <c r="K43" s="87">
        <v>604</v>
      </c>
      <c r="L43" s="87">
        <v>33196</v>
      </c>
      <c r="M43" s="87" t="s">
        <v>245</v>
      </c>
      <c r="N43" s="87" t="s">
        <v>267</v>
      </c>
      <c r="O43" s="87" t="s">
        <v>246</v>
      </c>
      <c r="P43" s="88" t="s">
        <v>860</v>
      </c>
      <c r="Q43" s="88" t="s">
        <v>861</v>
      </c>
      <c r="R43" s="88" t="s">
        <v>862</v>
      </c>
      <c r="S43" s="87" t="s">
        <v>245</v>
      </c>
    </row>
    <row r="44" spans="1:19" ht="21.75" customHeight="1" x14ac:dyDescent="0.3">
      <c r="A44" s="82">
        <v>39</v>
      </c>
      <c r="B44" s="83" t="s">
        <v>911</v>
      </c>
      <c r="C44" s="84" t="s">
        <v>914</v>
      </c>
      <c r="D44" s="84"/>
      <c r="E44" s="84" t="s">
        <v>135</v>
      </c>
      <c r="F44" s="83" t="s">
        <v>266</v>
      </c>
      <c r="G44" s="83" t="s">
        <v>245</v>
      </c>
      <c r="H44" s="83" t="s">
        <v>245</v>
      </c>
      <c r="I44" s="83" t="s">
        <v>245</v>
      </c>
      <c r="J44" s="85" t="s">
        <v>246</v>
      </c>
      <c r="K44" s="83">
        <v>471</v>
      </c>
      <c r="L44" s="83">
        <v>25880</v>
      </c>
      <c r="M44" s="83" t="s">
        <v>245</v>
      </c>
      <c r="N44" s="83" t="s">
        <v>267</v>
      </c>
      <c r="O44" s="83" t="s">
        <v>246</v>
      </c>
      <c r="P44" s="84" t="s">
        <v>866</v>
      </c>
      <c r="Q44" s="84" t="s">
        <v>861</v>
      </c>
      <c r="R44" s="84" t="s">
        <v>862</v>
      </c>
      <c r="S44" s="83" t="s">
        <v>245</v>
      </c>
    </row>
    <row r="45" spans="1:19" ht="21.75" customHeight="1" x14ac:dyDescent="0.3">
      <c r="A45" s="86">
        <v>40</v>
      </c>
      <c r="B45" s="87" t="s">
        <v>911</v>
      </c>
      <c r="C45" s="88" t="s">
        <v>915</v>
      </c>
      <c r="D45" s="88"/>
      <c r="E45" s="88" t="s">
        <v>135</v>
      </c>
      <c r="F45" s="87" t="s">
        <v>284</v>
      </c>
      <c r="G45" s="87" t="s">
        <v>245</v>
      </c>
      <c r="H45" s="87" t="s">
        <v>245</v>
      </c>
      <c r="I45" s="87" t="s">
        <v>245</v>
      </c>
      <c r="J45" s="87" t="s">
        <v>245</v>
      </c>
      <c r="K45" s="87">
        <v>439</v>
      </c>
      <c r="L45" s="87">
        <v>24156</v>
      </c>
      <c r="M45" s="87" t="s">
        <v>245</v>
      </c>
      <c r="N45" s="87" t="s">
        <v>247</v>
      </c>
      <c r="O45" s="87" t="s">
        <v>246</v>
      </c>
      <c r="P45" s="88" t="s">
        <v>866</v>
      </c>
      <c r="Q45" s="88" t="s">
        <v>868</v>
      </c>
      <c r="R45" s="88" t="s">
        <v>869</v>
      </c>
      <c r="S45" s="87" t="s">
        <v>246</v>
      </c>
    </row>
    <row r="46" spans="1:19" ht="21.75" customHeight="1" x14ac:dyDescent="0.3">
      <c r="A46" s="82">
        <v>41</v>
      </c>
      <c r="B46" s="83" t="s">
        <v>911</v>
      </c>
      <c r="C46" s="84" t="s">
        <v>916</v>
      </c>
      <c r="D46" s="84"/>
      <c r="E46" s="84" t="s">
        <v>135</v>
      </c>
      <c r="F46" s="83" t="s">
        <v>284</v>
      </c>
      <c r="G46" s="83" t="s">
        <v>245</v>
      </c>
      <c r="H46" s="83" t="s">
        <v>245</v>
      </c>
      <c r="I46" s="83" t="s">
        <v>246</v>
      </c>
      <c r="J46" s="85" t="s">
        <v>246</v>
      </c>
      <c r="K46" s="83">
        <v>365</v>
      </c>
      <c r="L46" s="83">
        <v>20066</v>
      </c>
      <c r="M46" s="83" t="s">
        <v>245</v>
      </c>
      <c r="N46" s="83" t="s">
        <v>247</v>
      </c>
      <c r="O46" s="83" t="s">
        <v>246</v>
      </c>
      <c r="P46" s="84" t="s">
        <v>860</v>
      </c>
      <c r="Q46" s="84" t="s">
        <v>861</v>
      </c>
      <c r="R46" s="84" t="s">
        <v>862</v>
      </c>
      <c r="S46" s="83" t="s">
        <v>245</v>
      </c>
    </row>
    <row r="47" spans="1:19" ht="21.75" customHeight="1" x14ac:dyDescent="0.3">
      <c r="A47" s="86">
        <v>42</v>
      </c>
      <c r="B47" s="87" t="s">
        <v>911</v>
      </c>
      <c r="C47" s="88" t="s">
        <v>917</v>
      </c>
      <c r="D47" s="88"/>
      <c r="E47" s="88" t="s">
        <v>135</v>
      </c>
      <c r="F47" s="87" t="s">
        <v>891</v>
      </c>
      <c r="G47" s="87" t="s">
        <v>245</v>
      </c>
      <c r="H47" s="87" t="s">
        <v>245</v>
      </c>
      <c r="I47" s="87" t="s">
        <v>245</v>
      </c>
      <c r="J47" s="89" t="s">
        <v>246</v>
      </c>
      <c r="K47" s="87">
        <v>210</v>
      </c>
      <c r="L47" s="87">
        <v>11550</v>
      </c>
      <c r="M47" s="87" t="s">
        <v>245</v>
      </c>
      <c r="N47" s="87" t="s">
        <v>267</v>
      </c>
      <c r="O47" s="87" t="s">
        <v>246</v>
      </c>
      <c r="P47" s="88" t="s">
        <v>866</v>
      </c>
      <c r="Q47" s="88" t="s">
        <v>861</v>
      </c>
      <c r="R47" s="88" t="s">
        <v>862</v>
      </c>
      <c r="S47" s="87" t="s">
        <v>245</v>
      </c>
    </row>
    <row r="48" spans="1:19" ht="21.75" customHeight="1" x14ac:dyDescent="0.3">
      <c r="A48" s="82">
        <v>43</v>
      </c>
      <c r="B48" s="83" t="s">
        <v>918</v>
      </c>
      <c r="C48" s="84" t="s">
        <v>919</v>
      </c>
      <c r="D48" s="84"/>
      <c r="E48" s="84" t="s">
        <v>135</v>
      </c>
      <c r="F48" s="83" t="s">
        <v>260</v>
      </c>
      <c r="G48" s="83" t="s">
        <v>245</v>
      </c>
      <c r="H48" s="83" t="s">
        <v>245</v>
      </c>
      <c r="I48" s="83" t="s">
        <v>245</v>
      </c>
      <c r="J48" s="85" t="s">
        <v>246</v>
      </c>
      <c r="K48" s="83">
        <v>206</v>
      </c>
      <c r="L48" s="83">
        <v>11330</v>
      </c>
      <c r="M48" s="83" t="s">
        <v>245</v>
      </c>
      <c r="N48" s="83" t="s">
        <v>254</v>
      </c>
      <c r="O48" s="83" t="s">
        <v>245</v>
      </c>
      <c r="P48" s="84" t="s">
        <v>866</v>
      </c>
      <c r="Q48" s="84" t="s">
        <v>861</v>
      </c>
      <c r="R48" s="84" t="s">
        <v>862</v>
      </c>
      <c r="S48" s="83" t="s">
        <v>245</v>
      </c>
    </row>
    <row r="49" spans="1:19" ht="21.75" customHeight="1" x14ac:dyDescent="0.3">
      <c r="A49" s="86">
        <v>44</v>
      </c>
      <c r="B49" s="87" t="s">
        <v>918</v>
      </c>
      <c r="C49" s="88" t="s">
        <v>920</v>
      </c>
      <c r="D49" s="88"/>
      <c r="E49" s="88" t="s">
        <v>135</v>
      </c>
      <c r="F49" s="87" t="s">
        <v>284</v>
      </c>
      <c r="G49" s="87" t="s">
        <v>245</v>
      </c>
      <c r="H49" s="87" t="s">
        <v>245</v>
      </c>
      <c r="I49" s="87" t="s">
        <v>245</v>
      </c>
      <c r="J49" s="89" t="s">
        <v>246</v>
      </c>
      <c r="K49" s="87">
        <v>160</v>
      </c>
      <c r="L49" s="87">
        <v>8814</v>
      </c>
      <c r="M49" s="87" t="s">
        <v>245</v>
      </c>
      <c r="N49" s="87" t="s">
        <v>247</v>
      </c>
      <c r="O49" s="87" t="s">
        <v>246</v>
      </c>
      <c r="P49" s="88" t="s">
        <v>866</v>
      </c>
      <c r="Q49" s="88" t="s">
        <v>861</v>
      </c>
      <c r="R49" s="88" t="s">
        <v>862</v>
      </c>
      <c r="S49" s="87" t="s">
        <v>245</v>
      </c>
    </row>
    <row r="50" spans="1:19" ht="21.75" customHeight="1" x14ac:dyDescent="0.3">
      <c r="A50" s="82">
        <v>45</v>
      </c>
      <c r="B50" s="83" t="s">
        <v>918</v>
      </c>
      <c r="C50" s="84" t="s">
        <v>921</v>
      </c>
      <c r="D50" s="84"/>
      <c r="E50" s="84" t="s">
        <v>135</v>
      </c>
      <c r="F50" s="83" t="s">
        <v>284</v>
      </c>
      <c r="G50" s="83" t="s">
        <v>245</v>
      </c>
      <c r="H50" s="83" t="s">
        <v>245</v>
      </c>
      <c r="I50" s="83" t="s">
        <v>246</v>
      </c>
      <c r="J50" s="83" t="s">
        <v>245</v>
      </c>
      <c r="K50" s="83">
        <v>128</v>
      </c>
      <c r="L50" s="83">
        <v>7044</v>
      </c>
      <c r="M50" s="83" t="s">
        <v>245</v>
      </c>
      <c r="N50" s="83" t="s">
        <v>247</v>
      </c>
      <c r="O50" s="83" t="s">
        <v>246</v>
      </c>
      <c r="P50" s="84" t="s">
        <v>860</v>
      </c>
      <c r="Q50" s="84" t="s">
        <v>868</v>
      </c>
      <c r="R50" s="84" t="s">
        <v>869</v>
      </c>
      <c r="S50" s="83" t="s">
        <v>245</v>
      </c>
    </row>
    <row r="51" spans="1:19" ht="21.75" customHeight="1" x14ac:dyDescent="0.3">
      <c r="A51" s="86">
        <v>46</v>
      </c>
      <c r="B51" s="87" t="s">
        <v>918</v>
      </c>
      <c r="C51" s="88" t="s">
        <v>922</v>
      </c>
      <c r="D51" s="88"/>
      <c r="E51" s="88" t="s">
        <v>135</v>
      </c>
      <c r="F51" s="87" t="s">
        <v>284</v>
      </c>
      <c r="G51" s="87" t="s">
        <v>245</v>
      </c>
      <c r="H51" s="87" t="s">
        <v>245</v>
      </c>
      <c r="I51" s="87" t="s">
        <v>246</v>
      </c>
      <c r="J51" s="89" t="s">
        <v>246</v>
      </c>
      <c r="K51" s="87">
        <v>108</v>
      </c>
      <c r="L51" s="87">
        <v>5916</v>
      </c>
      <c r="M51" s="87" t="s">
        <v>245</v>
      </c>
      <c r="N51" s="87" t="s">
        <v>247</v>
      </c>
      <c r="O51" s="87" t="s">
        <v>246</v>
      </c>
      <c r="P51" s="88" t="s">
        <v>860</v>
      </c>
      <c r="Q51" s="88" t="s">
        <v>861</v>
      </c>
      <c r="R51" s="88" t="s">
        <v>862</v>
      </c>
      <c r="S51" s="87" t="s">
        <v>245</v>
      </c>
    </row>
    <row r="52" spans="1:19" ht="21.75" customHeight="1" x14ac:dyDescent="0.3">
      <c r="A52" s="82">
        <v>47</v>
      </c>
      <c r="B52" s="83" t="s">
        <v>918</v>
      </c>
      <c r="C52" s="84" t="s">
        <v>923</v>
      </c>
      <c r="D52" s="84"/>
      <c r="E52" s="84" t="s">
        <v>135</v>
      </c>
      <c r="F52" s="83" t="s">
        <v>284</v>
      </c>
      <c r="G52" s="83" t="s">
        <v>245</v>
      </c>
      <c r="H52" s="83" t="s">
        <v>245</v>
      </c>
      <c r="I52" s="83" t="s">
        <v>246</v>
      </c>
      <c r="J52" s="85" t="s">
        <v>246</v>
      </c>
      <c r="K52" s="83">
        <v>89</v>
      </c>
      <c r="L52" s="83">
        <v>4920</v>
      </c>
      <c r="M52" s="83" t="s">
        <v>245</v>
      </c>
      <c r="N52" s="83" t="s">
        <v>247</v>
      </c>
      <c r="O52" s="83" t="s">
        <v>246</v>
      </c>
      <c r="P52" s="84" t="s">
        <v>860</v>
      </c>
      <c r="Q52" s="84" t="s">
        <v>861</v>
      </c>
      <c r="R52" s="84" t="s">
        <v>862</v>
      </c>
      <c r="S52" s="83" t="s">
        <v>245</v>
      </c>
    </row>
    <row r="53" spans="1:19" ht="21.75" customHeight="1" x14ac:dyDescent="0.3">
      <c r="A53" s="86">
        <v>48</v>
      </c>
      <c r="B53" s="87" t="s">
        <v>918</v>
      </c>
      <c r="C53" s="88" t="s">
        <v>924</v>
      </c>
      <c r="D53" s="88"/>
      <c r="E53" s="88" t="s">
        <v>135</v>
      </c>
      <c r="F53" s="87" t="s">
        <v>284</v>
      </c>
      <c r="G53" s="87" t="s">
        <v>245</v>
      </c>
      <c r="H53" s="87" t="s">
        <v>245</v>
      </c>
      <c r="I53" s="87" t="s">
        <v>246</v>
      </c>
      <c r="J53" s="89" t="s">
        <v>246</v>
      </c>
      <c r="K53" s="87">
        <v>87</v>
      </c>
      <c r="L53" s="87">
        <v>4796</v>
      </c>
      <c r="M53" s="87" t="s">
        <v>245</v>
      </c>
      <c r="N53" s="87" t="s">
        <v>247</v>
      </c>
      <c r="O53" s="87" t="s">
        <v>246</v>
      </c>
      <c r="P53" s="88" t="s">
        <v>860</v>
      </c>
      <c r="Q53" s="88" t="s">
        <v>861</v>
      </c>
      <c r="R53" s="88" t="s">
        <v>862</v>
      </c>
      <c r="S53" s="87" t="s">
        <v>245</v>
      </c>
    </row>
    <row r="54" spans="1:19" ht="21.75" customHeight="1" x14ac:dyDescent="0.3">
      <c r="A54" s="82">
        <v>49</v>
      </c>
      <c r="B54" s="83" t="s">
        <v>925</v>
      </c>
      <c r="C54" s="84" t="s">
        <v>926</v>
      </c>
      <c r="D54" s="84"/>
      <c r="E54" s="84" t="s">
        <v>135</v>
      </c>
      <c r="F54" s="83" t="s">
        <v>284</v>
      </c>
      <c r="G54" s="83" t="s">
        <v>246</v>
      </c>
      <c r="H54" s="83" t="s">
        <v>246</v>
      </c>
      <c r="I54" s="83" t="s">
        <v>245</v>
      </c>
      <c r="J54" s="85" t="s">
        <v>246</v>
      </c>
      <c r="K54" s="83">
        <v>148</v>
      </c>
      <c r="L54" s="83">
        <v>8140</v>
      </c>
      <c r="M54" s="83" t="s">
        <v>245</v>
      </c>
      <c r="N54" s="83" t="s">
        <v>247</v>
      </c>
      <c r="O54" s="83" t="s">
        <v>246</v>
      </c>
      <c r="P54" s="84" t="s">
        <v>878</v>
      </c>
      <c r="Q54" s="84" t="s">
        <v>888</v>
      </c>
      <c r="R54" s="84" t="s">
        <v>927</v>
      </c>
      <c r="S54" s="83" t="s">
        <v>245</v>
      </c>
    </row>
    <row r="55" spans="1:19" ht="21.75" customHeight="1" x14ac:dyDescent="0.3">
      <c r="A55" s="86">
        <v>50</v>
      </c>
      <c r="B55" s="87" t="s">
        <v>925</v>
      </c>
      <c r="C55" s="88" t="s">
        <v>928</v>
      </c>
      <c r="D55" s="88"/>
      <c r="E55" s="88" t="s">
        <v>135</v>
      </c>
      <c r="F55" s="87" t="s">
        <v>284</v>
      </c>
      <c r="G55" s="87" t="s">
        <v>245</v>
      </c>
      <c r="H55" s="87" t="s">
        <v>245</v>
      </c>
      <c r="I55" s="87" t="s">
        <v>246</v>
      </c>
      <c r="J55" s="87" t="s">
        <v>245</v>
      </c>
      <c r="K55" s="87">
        <v>22</v>
      </c>
      <c r="L55" s="87">
        <v>1208</v>
      </c>
      <c r="M55" s="87" t="s">
        <v>245</v>
      </c>
      <c r="N55" s="87" t="s">
        <v>247</v>
      </c>
      <c r="O55" s="87" t="s">
        <v>246</v>
      </c>
      <c r="P55" s="88" t="s">
        <v>860</v>
      </c>
      <c r="Q55" s="88" t="s">
        <v>892</v>
      </c>
      <c r="R55" s="88" t="s">
        <v>927</v>
      </c>
      <c r="S55" s="87" t="s">
        <v>245</v>
      </c>
    </row>
    <row r="56" spans="1:19" ht="21.75" customHeight="1" x14ac:dyDescent="0.3">
      <c r="A56" s="82">
        <v>51</v>
      </c>
      <c r="B56" s="83" t="s">
        <v>925</v>
      </c>
      <c r="C56" s="84" t="s">
        <v>929</v>
      </c>
      <c r="D56" s="84"/>
      <c r="E56" s="84" t="s">
        <v>135</v>
      </c>
      <c r="F56" s="83" t="s">
        <v>284</v>
      </c>
      <c r="G56" s="83" t="s">
        <v>245</v>
      </c>
      <c r="H56" s="83" t="s">
        <v>245</v>
      </c>
      <c r="I56" s="83" t="s">
        <v>246</v>
      </c>
      <c r="J56" s="85" t="s">
        <v>246</v>
      </c>
      <c r="K56" s="83">
        <v>58</v>
      </c>
      <c r="L56" s="83">
        <v>3215</v>
      </c>
      <c r="M56" s="83" t="s">
        <v>245</v>
      </c>
      <c r="N56" s="83" t="s">
        <v>247</v>
      </c>
      <c r="O56" s="83" t="s">
        <v>246</v>
      </c>
      <c r="P56" s="84" t="s">
        <v>860</v>
      </c>
      <c r="Q56" s="84" t="s">
        <v>888</v>
      </c>
      <c r="R56" s="84" t="s">
        <v>927</v>
      </c>
      <c r="S56" s="83" t="s">
        <v>245</v>
      </c>
    </row>
    <row r="57" spans="1:19" ht="21.75" customHeight="1" x14ac:dyDescent="0.3">
      <c r="A57" s="86">
        <v>52</v>
      </c>
      <c r="B57" s="87" t="s">
        <v>925</v>
      </c>
      <c r="C57" s="88" t="s">
        <v>930</v>
      </c>
      <c r="D57" s="88"/>
      <c r="E57" s="88" t="s">
        <v>135</v>
      </c>
      <c r="F57" s="87" t="s">
        <v>273</v>
      </c>
      <c r="G57" s="87" t="s">
        <v>246</v>
      </c>
      <c r="H57" s="87" t="s">
        <v>246</v>
      </c>
      <c r="I57" s="87" t="s">
        <v>245</v>
      </c>
      <c r="J57" s="89" t="s">
        <v>246</v>
      </c>
      <c r="K57" s="87">
        <v>52</v>
      </c>
      <c r="L57" s="87">
        <v>2882</v>
      </c>
      <c r="M57" s="87" t="s">
        <v>246</v>
      </c>
      <c r="N57" s="87" t="s">
        <v>274</v>
      </c>
      <c r="O57" s="87" t="s">
        <v>246</v>
      </c>
      <c r="P57" s="88" t="s">
        <v>878</v>
      </c>
      <c r="Q57" s="88" t="s">
        <v>888</v>
      </c>
      <c r="R57" s="88" t="s">
        <v>927</v>
      </c>
      <c r="S57" s="87" t="s">
        <v>245</v>
      </c>
    </row>
    <row r="58" spans="1:19" ht="21.75" customHeight="1" x14ac:dyDescent="0.3">
      <c r="A58" s="82">
        <v>53</v>
      </c>
      <c r="B58" s="83" t="s">
        <v>925</v>
      </c>
      <c r="C58" s="84" t="s">
        <v>931</v>
      </c>
      <c r="D58" s="84"/>
      <c r="E58" s="84" t="s">
        <v>135</v>
      </c>
      <c r="F58" s="83" t="s">
        <v>284</v>
      </c>
      <c r="G58" s="83" t="s">
        <v>245</v>
      </c>
      <c r="H58" s="83" t="s">
        <v>245</v>
      </c>
      <c r="I58" s="83" t="s">
        <v>245</v>
      </c>
      <c r="J58" s="83" t="s">
        <v>245</v>
      </c>
      <c r="K58" s="83">
        <v>26</v>
      </c>
      <c r="L58" s="83">
        <v>1455</v>
      </c>
      <c r="M58" s="83" t="s">
        <v>245</v>
      </c>
      <c r="N58" s="83" t="s">
        <v>247</v>
      </c>
      <c r="O58" s="83" t="s">
        <v>246</v>
      </c>
      <c r="P58" s="84" t="s">
        <v>866</v>
      </c>
      <c r="Q58" s="84" t="s">
        <v>892</v>
      </c>
      <c r="R58" s="84" t="s">
        <v>927</v>
      </c>
      <c r="S58" s="83" t="s">
        <v>245</v>
      </c>
    </row>
    <row r="59" spans="1:19" ht="21.75" customHeight="1" x14ac:dyDescent="0.3">
      <c r="A59" s="86">
        <v>54</v>
      </c>
      <c r="B59" s="87" t="s">
        <v>925</v>
      </c>
      <c r="C59" s="88" t="s">
        <v>932</v>
      </c>
      <c r="D59" s="88"/>
      <c r="E59" s="88" t="s">
        <v>135</v>
      </c>
      <c r="F59" s="87" t="s">
        <v>284</v>
      </c>
      <c r="G59" s="87" t="s">
        <v>245</v>
      </c>
      <c r="H59" s="87" t="s">
        <v>246</v>
      </c>
      <c r="I59" s="87" t="s">
        <v>245</v>
      </c>
      <c r="J59" s="89" t="s">
        <v>246</v>
      </c>
      <c r="K59" s="87">
        <v>35</v>
      </c>
      <c r="L59" s="87">
        <v>1931</v>
      </c>
      <c r="M59" s="87" t="s">
        <v>245</v>
      </c>
      <c r="N59" s="87" t="s">
        <v>247</v>
      </c>
      <c r="O59" s="87" t="s">
        <v>246</v>
      </c>
      <c r="P59" s="88" t="s">
        <v>866</v>
      </c>
      <c r="Q59" s="88" t="s">
        <v>888</v>
      </c>
      <c r="R59" s="88" t="s">
        <v>927</v>
      </c>
      <c r="S59" s="87" t="s">
        <v>245</v>
      </c>
    </row>
    <row r="60" spans="1:19" ht="21.75" customHeight="1" x14ac:dyDescent="0.3">
      <c r="A60" s="82">
        <v>55</v>
      </c>
      <c r="B60" s="83" t="s">
        <v>933</v>
      </c>
      <c r="C60" s="84" t="s">
        <v>934</v>
      </c>
      <c r="D60" s="84"/>
      <c r="E60" s="84" t="s">
        <v>135</v>
      </c>
      <c r="F60" s="83" t="s">
        <v>244</v>
      </c>
      <c r="G60" s="83" t="s">
        <v>245</v>
      </c>
      <c r="H60" s="83" t="s">
        <v>246</v>
      </c>
      <c r="I60" s="83" t="s">
        <v>245</v>
      </c>
      <c r="J60" s="85" t="s">
        <v>246</v>
      </c>
      <c r="K60" s="83">
        <v>1</v>
      </c>
      <c r="L60" s="83">
        <v>0</v>
      </c>
      <c r="M60" s="83" t="s">
        <v>245</v>
      </c>
      <c r="N60" s="83" t="s">
        <v>247</v>
      </c>
      <c r="O60" s="83" t="s">
        <v>246</v>
      </c>
      <c r="P60" s="84" t="s">
        <v>866</v>
      </c>
      <c r="Q60" s="84" t="s">
        <v>888</v>
      </c>
      <c r="R60" s="84" t="s">
        <v>927</v>
      </c>
      <c r="S60" s="83" t="s">
        <v>245</v>
      </c>
    </row>
    <row r="61" spans="1:19" ht="21.75" customHeight="1" x14ac:dyDescent="0.3">
      <c r="A61" s="86">
        <v>56</v>
      </c>
      <c r="B61" s="87" t="s">
        <v>933</v>
      </c>
      <c r="C61" s="88" t="s">
        <v>935</v>
      </c>
      <c r="D61" s="88"/>
      <c r="E61" s="88" t="s">
        <v>135</v>
      </c>
      <c r="F61" s="87" t="s">
        <v>891</v>
      </c>
      <c r="G61" s="87" t="s">
        <v>245</v>
      </c>
      <c r="H61" s="87" t="s">
        <v>245</v>
      </c>
      <c r="I61" s="87" t="s">
        <v>245</v>
      </c>
      <c r="J61" s="89" t="s">
        <v>246</v>
      </c>
      <c r="K61" s="87">
        <v>57</v>
      </c>
      <c r="L61" s="87">
        <v>3127</v>
      </c>
      <c r="M61" s="87" t="s">
        <v>245</v>
      </c>
      <c r="N61" s="87" t="s">
        <v>267</v>
      </c>
      <c r="O61" s="87" t="s">
        <v>246</v>
      </c>
      <c r="P61" s="88" t="s">
        <v>866</v>
      </c>
      <c r="Q61" s="88" t="s">
        <v>888</v>
      </c>
      <c r="R61" s="88" t="s">
        <v>927</v>
      </c>
      <c r="S61" s="87" t="s">
        <v>245</v>
      </c>
    </row>
    <row r="62" spans="1:19" ht="21.75" customHeight="1" x14ac:dyDescent="0.3">
      <c r="A62" s="82">
        <v>57</v>
      </c>
      <c r="B62" s="83" t="s">
        <v>933</v>
      </c>
      <c r="C62" s="84" t="s">
        <v>936</v>
      </c>
      <c r="D62" s="84"/>
      <c r="E62" s="84" t="s">
        <v>135</v>
      </c>
      <c r="F62" s="83" t="s">
        <v>891</v>
      </c>
      <c r="G62" s="83" t="s">
        <v>245</v>
      </c>
      <c r="H62" s="83" t="s">
        <v>245</v>
      </c>
      <c r="I62" s="83" t="s">
        <v>246</v>
      </c>
      <c r="J62" s="85" t="s">
        <v>246</v>
      </c>
      <c r="K62" s="83">
        <v>23</v>
      </c>
      <c r="L62" s="83">
        <v>1260</v>
      </c>
      <c r="M62" s="83" t="s">
        <v>245</v>
      </c>
      <c r="N62" s="83" t="s">
        <v>267</v>
      </c>
      <c r="O62" s="83" t="s">
        <v>246</v>
      </c>
      <c r="P62" s="84" t="s">
        <v>860</v>
      </c>
      <c r="Q62" s="84" t="s">
        <v>888</v>
      </c>
      <c r="R62" s="84" t="s">
        <v>927</v>
      </c>
      <c r="S62" s="83" t="s">
        <v>245</v>
      </c>
    </row>
    <row r="63" spans="1:19" ht="21.75" customHeight="1" x14ac:dyDescent="0.3">
      <c r="A63" s="86">
        <v>58</v>
      </c>
      <c r="B63" s="87" t="s">
        <v>933</v>
      </c>
      <c r="C63" s="88" t="s">
        <v>937</v>
      </c>
      <c r="D63" s="88"/>
      <c r="E63" s="88" t="s">
        <v>135</v>
      </c>
      <c r="F63" s="87" t="s">
        <v>284</v>
      </c>
      <c r="G63" s="87" t="s">
        <v>245</v>
      </c>
      <c r="H63" s="87" t="s">
        <v>246</v>
      </c>
      <c r="I63" s="87" t="s">
        <v>246</v>
      </c>
      <c r="J63" s="89" t="s">
        <v>246</v>
      </c>
      <c r="K63" s="87">
        <v>52</v>
      </c>
      <c r="L63" s="87">
        <v>2873</v>
      </c>
      <c r="M63" s="87" t="s">
        <v>245</v>
      </c>
      <c r="N63" s="87" t="s">
        <v>247</v>
      </c>
      <c r="O63" s="87" t="s">
        <v>246</v>
      </c>
      <c r="P63" s="88" t="s">
        <v>860</v>
      </c>
      <c r="Q63" s="88" t="s">
        <v>888</v>
      </c>
      <c r="R63" s="88" t="s">
        <v>927</v>
      </c>
      <c r="S63" s="87" t="s">
        <v>245</v>
      </c>
    </row>
    <row r="64" spans="1:19" ht="21.75" customHeight="1" x14ac:dyDescent="0.3">
      <c r="A64" s="82">
        <v>59</v>
      </c>
      <c r="B64" s="83" t="s">
        <v>933</v>
      </c>
      <c r="C64" s="84" t="s">
        <v>938</v>
      </c>
      <c r="D64" s="84"/>
      <c r="E64" s="84" t="s">
        <v>135</v>
      </c>
      <c r="F64" s="83" t="s">
        <v>273</v>
      </c>
      <c r="G64" s="83" t="s">
        <v>246</v>
      </c>
      <c r="H64" s="83" t="s">
        <v>246</v>
      </c>
      <c r="I64" s="83" t="s">
        <v>245</v>
      </c>
      <c r="J64" s="85" t="s">
        <v>246</v>
      </c>
      <c r="K64" s="83">
        <v>49</v>
      </c>
      <c r="L64" s="83">
        <v>2669</v>
      </c>
      <c r="M64" s="83" t="s">
        <v>246</v>
      </c>
      <c r="N64" s="83" t="s">
        <v>274</v>
      </c>
      <c r="O64" s="83" t="s">
        <v>246</v>
      </c>
      <c r="P64" s="84" t="s">
        <v>878</v>
      </c>
      <c r="Q64" s="84" t="s">
        <v>888</v>
      </c>
      <c r="R64" s="84" t="s">
        <v>927</v>
      </c>
      <c r="S64" s="83" t="s">
        <v>245</v>
      </c>
    </row>
    <row r="65" spans="1:19" ht="21.75" customHeight="1" x14ac:dyDescent="0.3">
      <c r="A65" s="86">
        <v>60</v>
      </c>
      <c r="B65" s="87" t="s">
        <v>933</v>
      </c>
      <c r="C65" s="88" t="s">
        <v>939</v>
      </c>
      <c r="D65" s="88"/>
      <c r="E65" s="88" t="s">
        <v>135</v>
      </c>
      <c r="F65" s="87" t="s">
        <v>284</v>
      </c>
      <c r="G65" s="87" t="s">
        <v>246</v>
      </c>
      <c r="H65" s="87" t="s">
        <v>245</v>
      </c>
      <c r="I65" s="87" t="s">
        <v>246</v>
      </c>
      <c r="J65" s="89" t="s">
        <v>246</v>
      </c>
      <c r="K65" s="87">
        <v>20</v>
      </c>
      <c r="L65" s="87">
        <v>1092</v>
      </c>
      <c r="M65" s="87" t="s">
        <v>245</v>
      </c>
      <c r="N65" s="87" t="s">
        <v>247</v>
      </c>
      <c r="O65" s="87" t="s">
        <v>246</v>
      </c>
      <c r="P65" s="88" t="s">
        <v>406</v>
      </c>
      <c r="Q65" s="88" t="s">
        <v>888</v>
      </c>
      <c r="R65" s="88" t="s">
        <v>927</v>
      </c>
      <c r="S65" s="87" t="s">
        <v>245</v>
      </c>
    </row>
    <row r="66" spans="1:19" ht="21.75" customHeight="1" x14ac:dyDescent="0.3">
      <c r="A66" s="90">
        <v>61</v>
      </c>
      <c r="B66" s="91" t="s">
        <v>940</v>
      </c>
      <c r="C66" s="92" t="s">
        <v>941</v>
      </c>
      <c r="D66" s="92"/>
      <c r="E66" s="92" t="s">
        <v>140</v>
      </c>
      <c r="F66" s="91" t="s">
        <v>260</v>
      </c>
      <c r="G66" s="91" t="s">
        <v>245</v>
      </c>
      <c r="H66" s="91" t="s">
        <v>245</v>
      </c>
      <c r="I66" s="91" t="s">
        <v>246</v>
      </c>
      <c r="J66" s="93" t="s">
        <v>246</v>
      </c>
      <c r="K66" s="91">
        <v>1362</v>
      </c>
      <c r="L66" s="91">
        <v>74892</v>
      </c>
      <c r="M66" s="91" t="s">
        <v>245</v>
      </c>
      <c r="N66" s="91" t="s">
        <v>254</v>
      </c>
      <c r="O66" s="91" t="s">
        <v>245</v>
      </c>
      <c r="P66" s="92" t="s">
        <v>860</v>
      </c>
      <c r="Q66" s="92" t="s">
        <v>861</v>
      </c>
      <c r="R66" s="92" t="s">
        <v>862</v>
      </c>
      <c r="S66" s="91" t="s">
        <v>245</v>
      </c>
    </row>
    <row r="67" spans="1:19" ht="21.75" customHeight="1" x14ac:dyDescent="0.3">
      <c r="A67" s="94">
        <v>62</v>
      </c>
      <c r="B67" s="95" t="s">
        <v>940</v>
      </c>
      <c r="C67" s="96" t="s">
        <v>942</v>
      </c>
      <c r="D67" s="96"/>
      <c r="E67" s="96" t="s">
        <v>140</v>
      </c>
      <c r="F67" s="95" t="s">
        <v>284</v>
      </c>
      <c r="G67" s="95" t="s">
        <v>245</v>
      </c>
      <c r="H67" s="95" t="s">
        <v>245</v>
      </c>
      <c r="I67" s="95" t="s">
        <v>246</v>
      </c>
      <c r="J67" s="97" t="s">
        <v>246</v>
      </c>
      <c r="K67" s="95">
        <v>1245</v>
      </c>
      <c r="L67" s="95">
        <v>68449</v>
      </c>
      <c r="M67" s="95" t="s">
        <v>245</v>
      </c>
      <c r="N67" s="95" t="s">
        <v>254</v>
      </c>
      <c r="O67" s="95" t="s">
        <v>245</v>
      </c>
      <c r="P67" s="96" t="s">
        <v>860</v>
      </c>
      <c r="Q67" s="96" t="s">
        <v>861</v>
      </c>
      <c r="R67" s="96" t="s">
        <v>862</v>
      </c>
      <c r="S67" s="95" t="s">
        <v>245</v>
      </c>
    </row>
    <row r="68" spans="1:19" ht="21.75" customHeight="1" x14ac:dyDescent="0.3">
      <c r="A68" s="90">
        <v>63</v>
      </c>
      <c r="B68" s="91" t="s">
        <v>940</v>
      </c>
      <c r="C68" s="92" t="s">
        <v>943</v>
      </c>
      <c r="D68" s="92"/>
      <c r="E68" s="92" t="s">
        <v>140</v>
      </c>
      <c r="F68" s="91" t="s">
        <v>284</v>
      </c>
      <c r="G68" s="91" t="s">
        <v>245</v>
      </c>
      <c r="H68" s="91" t="s">
        <v>245</v>
      </c>
      <c r="I68" s="91" t="s">
        <v>245</v>
      </c>
      <c r="J68" s="91" t="s">
        <v>245</v>
      </c>
      <c r="K68" s="91">
        <v>652</v>
      </c>
      <c r="L68" s="91">
        <v>35848</v>
      </c>
      <c r="M68" s="91" t="s">
        <v>245</v>
      </c>
      <c r="N68" s="91" t="s">
        <v>254</v>
      </c>
      <c r="O68" s="91" t="s">
        <v>245</v>
      </c>
      <c r="P68" s="92" t="s">
        <v>866</v>
      </c>
      <c r="Q68" s="92" t="s">
        <v>868</v>
      </c>
      <c r="R68" s="92" t="s">
        <v>869</v>
      </c>
      <c r="S68" s="91" t="s">
        <v>246</v>
      </c>
    </row>
    <row r="69" spans="1:19" ht="21.75" customHeight="1" x14ac:dyDescent="0.3">
      <c r="A69" s="94">
        <v>64</v>
      </c>
      <c r="B69" s="95" t="s">
        <v>940</v>
      </c>
      <c r="C69" s="96" t="s">
        <v>944</v>
      </c>
      <c r="D69" s="96"/>
      <c r="E69" s="96" t="s">
        <v>140</v>
      </c>
      <c r="F69" s="95" t="s">
        <v>273</v>
      </c>
      <c r="G69" s="95" t="s">
        <v>245</v>
      </c>
      <c r="H69" s="95" t="s">
        <v>245</v>
      </c>
      <c r="I69" s="95" t="s">
        <v>245</v>
      </c>
      <c r="J69" s="95" t="s">
        <v>245</v>
      </c>
      <c r="K69" s="95">
        <v>624</v>
      </c>
      <c r="L69" s="95">
        <v>34317</v>
      </c>
      <c r="M69" s="95" t="s">
        <v>246</v>
      </c>
      <c r="N69" s="95" t="s">
        <v>274</v>
      </c>
      <c r="O69" s="95" t="s">
        <v>246</v>
      </c>
      <c r="P69" s="96" t="s">
        <v>866</v>
      </c>
      <c r="Q69" s="96" t="s">
        <v>868</v>
      </c>
      <c r="R69" s="96" t="s">
        <v>869</v>
      </c>
      <c r="S69" s="95" t="s">
        <v>246</v>
      </c>
    </row>
    <row r="70" spans="1:19" ht="21.75" customHeight="1" x14ac:dyDescent="0.3">
      <c r="A70" s="90">
        <v>65</v>
      </c>
      <c r="B70" s="91" t="s">
        <v>945</v>
      </c>
      <c r="C70" s="92" t="s">
        <v>946</v>
      </c>
      <c r="D70" s="92"/>
      <c r="E70" s="92" t="s">
        <v>140</v>
      </c>
      <c r="F70" s="91" t="s">
        <v>284</v>
      </c>
      <c r="G70" s="91" t="s">
        <v>245</v>
      </c>
      <c r="H70" s="91" t="s">
        <v>245</v>
      </c>
      <c r="I70" s="91" t="s">
        <v>246</v>
      </c>
      <c r="J70" s="91" t="s">
        <v>245</v>
      </c>
      <c r="K70" s="91">
        <v>427</v>
      </c>
      <c r="L70" s="91">
        <v>23478</v>
      </c>
      <c r="M70" s="91" t="s">
        <v>245</v>
      </c>
      <c r="N70" s="91" t="s">
        <v>247</v>
      </c>
      <c r="O70" s="91" t="s">
        <v>246</v>
      </c>
      <c r="P70" s="92" t="s">
        <v>860</v>
      </c>
      <c r="Q70" s="92" t="s">
        <v>868</v>
      </c>
      <c r="R70" s="92" t="s">
        <v>869</v>
      </c>
      <c r="S70" s="91" t="s">
        <v>246</v>
      </c>
    </row>
    <row r="71" spans="1:19" ht="21.75" customHeight="1" x14ac:dyDescent="0.3">
      <c r="A71" s="94">
        <v>66</v>
      </c>
      <c r="B71" s="95" t="s">
        <v>945</v>
      </c>
      <c r="C71" s="96" t="s">
        <v>947</v>
      </c>
      <c r="D71" s="96"/>
      <c r="E71" s="96" t="s">
        <v>140</v>
      </c>
      <c r="F71" s="95" t="s">
        <v>284</v>
      </c>
      <c r="G71" s="95" t="s">
        <v>245</v>
      </c>
      <c r="H71" s="95" t="s">
        <v>245</v>
      </c>
      <c r="I71" s="95" t="s">
        <v>245</v>
      </c>
      <c r="J71" s="95" t="s">
        <v>245</v>
      </c>
      <c r="K71" s="95">
        <v>355</v>
      </c>
      <c r="L71" s="95">
        <v>19534</v>
      </c>
      <c r="M71" s="95" t="s">
        <v>245</v>
      </c>
      <c r="N71" s="95" t="s">
        <v>247</v>
      </c>
      <c r="O71" s="95" t="s">
        <v>246</v>
      </c>
      <c r="P71" s="96" t="s">
        <v>866</v>
      </c>
      <c r="Q71" s="96" t="s">
        <v>868</v>
      </c>
      <c r="R71" s="96" t="s">
        <v>869</v>
      </c>
      <c r="S71" s="95" t="s">
        <v>245</v>
      </c>
    </row>
    <row r="72" spans="1:19" ht="21.75" customHeight="1" x14ac:dyDescent="0.3">
      <c r="A72" s="90">
        <v>67</v>
      </c>
      <c r="B72" s="91" t="s">
        <v>945</v>
      </c>
      <c r="C72" s="92" t="s">
        <v>948</v>
      </c>
      <c r="D72" s="92"/>
      <c r="E72" s="92" t="s">
        <v>140</v>
      </c>
      <c r="F72" s="91" t="s">
        <v>284</v>
      </c>
      <c r="G72" s="91" t="s">
        <v>245</v>
      </c>
      <c r="H72" s="91" t="s">
        <v>245</v>
      </c>
      <c r="I72" s="91" t="s">
        <v>245</v>
      </c>
      <c r="J72" s="93" t="s">
        <v>246</v>
      </c>
      <c r="K72" s="91">
        <v>283</v>
      </c>
      <c r="L72" s="91">
        <v>15584</v>
      </c>
      <c r="M72" s="91" t="s">
        <v>245</v>
      </c>
      <c r="N72" s="91" t="s">
        <v>247</v>
      </c>
      <c r="O72" s="91" t="s">
        <v>246</v>
      </c>
      <c r="P72" s="92" t="s">
        <v>866</v>
      </c>
      <c r="Q72" s="92" t="s">
        <v>861</v>
      </c>
      <c r="R72" s="92" t="s">
        <v>862</v>
      </c>
      <c r="S72" s="91" t="s">
        <v>245</v>
      </c>
    </row>
    <row r="73" spans="1:19" ht="21.75" customHeight="1" x14ac:dyDescent="0.3">
      <c r="A73" s="94">
        <v>68</v>
      </c>
      <c r="B73" s="95" t="s">
        <v>945</v>
      </c>
      <c r="C73" s="96" t="s">
        <v>949</v>
      </c>
      <c r="D73" s="96"/>
      <c r="E73" s="96" t="s">
        <v>140</v>
      </c>
      <c r="F73" s="95" t="s">
        <v>284</v>
      </c>
      <c r="G73" s="95" t="s">
        <v>245</v>
      </c>
      <c r="H73" s="95" t="s">
        <v>245</v>
      </c>
      <c r="I73" s="95" t="s">
        <v>245</v>
      </c>
      <c r="J73" s="95" t="s">
        <v>245</v>
      </c>
      <c r="K73" s="95">
        <v>276</v>
      </c>
      <c r="L73" s="95">
        <v>15175</v>
      </c>
      <c r="M73" s="95" t="s">
        <v>245</v>
      </c>
      <c r="N73" s="95" t="s">
        <v>247</v>
      </c>
      <c r="O73" s="95" t="s">
        <v>246</v>
      </c>
      <c r="P73" s="96" t="s">
        <v>866</v>
      </c>
      <c r="Q73" s="96" t="s">
        <v>868</v>
      </c>
      <c r="R73" s="96" t="s">
        <v>869</v>
      </c>
      <c r="S73" s="95" t="s">
        <v>245</v>
      </c>
    </row>
    <row r="74" spans="1:19" ht="21.75" customHeight="1" x14ac:dyDescent="0.3">
      <c r="A74" s="90">
        <v>69</v>
      </c>
      <c r="B74" s="91" t="s">
        <v>950</v>
      </c>
      <c r="C74" s="92" t="s">
        <v>951</v>
      </c>
      <c r="D74" s="92"/>
      <c r="E74" s="92" t="s">
        <v>140</v>
      </c>
      <c r="F74" s="91" t="s">
        <v>244</v>
      </c>
      <c r="G74" s="91" t="s">
        <v>245</v>
      </c>
      <c r="H74" s="91" t="s">
        <v>246</v>
      </c>
      <c r="I74" s="91" t="s">
        <v>246</v>
      </c>
      <c r="J74" s="93" t="s">
        <v>246</v>
      </c>
      <c r="K74" s="91">
        <v>218</v>
      </c>
      <c r="L74" s="91">
        <v>12007</v>
      </c>
      <c r="M74" s="91" t="s">
        <v>245</v>
      </c>
      <c r="N74" s="91" t="s">
        <v>247</v>
      </c>
      <c r="O74" s="91" t="s">
        <v>246</v>
      </c>
      <c r="P74" s="92" t="s">
        <v>860</v>
      </c>
      <c r="Q74" s="92" t="s">
        <v>861</v>
      </c>
      <c r="R74" s="92" t="s">
        <v>862</v>
      </c>
      <c r="S74" s="91" t="s">
        <v>245</v>
      </c>
    </row>
    <row r="75" spans="1:19" ht="21.75" customHeight="1" x14ac:dyDescent="0.3">
      <c r="A75" s="94">
        <v>70</v>
      </c>
      <c r="B75" s="95" t="s">
        <v>950</v>
      </c>
      <c r="C75" s="96" t="s">
        <v>952</v>
      </c>
      <c r="D75" s="96"/>
      <c r="E75" s="96" t="s">
        <v>140</v>
      </c>
      <c r="F75" s="95" t="s">
        <v>273</v>
      </c>
      <c r="G75" s="95" t="s">
        <v>245</v>
      </c>
      <c r="H75" s="95" t="s">
        <v>245</v>
      </c>
      <c r="I75" s="95" t="s">
        <v>245</v>
      </c>
      <c r="J75" s="97" t="s">
        <v>246</v>
      </c>
      <c r="K75" s="95">
        <v>212</v>
      </c>
      <c r="L75" s="95">
        <v>11635</v>
      </c>
      <c r="M75" s="95" t="s">
        <v>246</v>
      </c>
      <c r="N75" s="95" t="s">
        <v>274</v>
      </c>
      <c r="O75" s="95" t="s">
        <v>246</v>
      </c>
      <c r="P75" s="96" t="s">
        <v>866</v>
      </c>
      <c r="Q75" s="96" t="s">
        <v>861</v>
      </c>
      <c r="R75" s="96" t="s">
        <v>862</v>
      </c>
      <c r="S75" s="95" t="s">
        <v>245</v>
      </c>
    </row>
    <row r="76" spans="1:19" ht="21.75" customHeight="1" x14ac:dyDescent="0.3">
      <c r="A76" s="90">
        <v>71</v>
      </c>
      <c r="B76" s="91" t="s">
        <v>950</v>
      </c>
      <c r="C76" s="92" t="s">
        <v>953</v>
      </c>
      <c r="D76" s="92"/>
      <c r="E76" s="92" t="s">
        <v>140</v>
      </c>
      <c r="F76" s="91" t="s">
        <v>284</v>
      </c>
      <c r="G76" s="91" t="s">
        <v>245</v>
      </c>
      <c r="H76" s="91" t="s">
        <v>245</v>
      </c>
      <c r="I76" s="91" t="s">
        <v>245</v>
      </c>
      <c r="J76" s="91" t="s">
        <v>245</v>
      </c>
      <c r="K76" s="91">
        <v>202</v>
      </c>
      <c r="L76" s="91">
        <v>11092</v>
      </c>
      <c r="M76" s="91" t="s">
        <v>245</v>
      </c>
      <c r="N76" s="91" t="s">
        <v>247</v>
      </c>
      <c r="O76" s="91" t="s">
        <v>246</v>
      </c>
      <c r="P76" s="92" t="s">
        <v>866</v>
      </c>
      <c r="Q76" s="92" t="s">
        <v>868</v>
      </c>
      <c r="R76" s="92" t="s">
        <v>869</v>
      </c>
      <c r="S76" s="91" t="s">
        <v>246</v>
      </c>
    </row>
    <row r="77" spans="1:19" ht="21.75" customHeight="1" x14ac:dyDescent="0.3">
      <c r="A77" s="94">
        <v>72</v>
      </c>
      <c r="B77" s="95" t="s">
        <v>950</v>
      </c>
      <c r="C77" s="96" t="s">
        <v>134</v>
      </c>
      <c r="D77" s="96"/>
      <c r="E77" s="96" t="s">
        <v>140</v>
      </c>
      <c r="F77" s="95" t="s">
        <v>284</v>
      </c>
      <c r="G77" s="95" t="s">
        <v>245</v>
      </c>
      <c r="H77" s="95" t="s">
        <v>245</v>
      </c>
      <c r="I77" s="95" t="s">
        <v>245</v>
      </c>
      <c r="J77" s="97" t="s">
        <v>246</v>
      </c>
      <c r="K77" s="95">
        <v>192</v>
      </c>
      <c r="L77" s="95">
        <v>10536</v>
      </c>
      <c r="M77" s="95" t="s">
        <v>245</v>
      </c>
      <c r="N77" s="95" t="s">
        <v>247</v>
      </c>
      <c r="O77" s="95" t="s">
        <v>246</v>
      </c>
      <c r="P77" s="96" t="s">
        <v>866</v>
      </c>
      <c r="Q77" s="96" t="s">
        <v>861</v>
      </c>
      <c r="R77" s="96" t="s">
        <v>862</v>
      </c>
      <c r="S77" s="95" t="s">
        <v>245</v>
      </c>
    </row>
    <row r="78" spans="1:19" ht="21.75" customHeight="1" x14ac:dyDescent="0.3">
      <c r="A78" s="90">
        <v>73</v>
      </c>
      <c r="B78" s="91" t="s">
        <v>954</v>
      </c>
      <c r="C78" s="92" t="s">
        <v>955</v>
      </c>
      <c r="D78" s="92"/>
      <c r="E78" s="92" t="s">
        <v>140</v>
      </c>
      <c r="F78" s="91" t="s">
        <v>284</v>
      </c>
      <c r="G78" s="91" t="s">
        <v>245</v>
      </c>
      <c r="H78" s="91" t="s">
        <v>245</v>
      </c>
      <c r="I78" s="91" t="s">
        <v>245</v>
      </c>
      <c r="J78" s="91" t="s">
        <v>245</v>
      </c>
      <c r="K78" s="91">
        <v>88</v>
      </c>
      <c r="L78" s="91">
        <v>4841</v>
      </c>
      <c r="M78" s="91" t="s">
        <v>245</v>
      </c>
      <c r="N78" s="91" t="s">
        <v>247</v>
      </c>
      <c r="O78" s="91" t="s">
        <v>246</v>
      </c>
      <c r="P78" s="92" t="s">
        <v>866</v>
      </c>
      <c r="Q78" s="92" t="s">
        <v>892</v>
      </c>
      <c r="R78" s="92" t="s">
        <v>956</v>
      </c>
      <c r="S78" s="91" t="s">
        <v>245</v>
      </c>
    </row>
    <row r="79" spans="1:19" ht="21.75" customHeight="1" x14ac:dyDescent="0.3">
      <c r="A79" s="94">
        <v>74</v>
      </c>
      <c r="B79" s="95" t="s">
        <v>954</v>
      </c>
      <c r="C79" s="96" t="s">
        <v>957</v>
      </c>
      <c r="D79" s="96"/>
      <c r="E79" s="96" t="s">
        <v>140</v>
      </c>
      <c r="F79" s="95" t="s">
        <v>284</v>
      </c>
      <c r="G79" s="95" t="s">
        <v>245</v>
      </c>
      <c r="H79" s="95" t="s">
        <v>245</v>
      </c>
      <c r="I79" s="95" t="s">
        <v>246</v>
      </c>
      <c r="J79" s="97" t="s">
        <v>246</v>
      </c>
      <c r="K79" s="95">
        <v>51</v>
      </c>
      <c r="L79" s="95">
        <v>2791</v>
      </c>
      <c r="M79" s="95" t="s">
        <v>245</v>
      </c>
      <c r="N79" s="95" t="s">
        <v>247</v>
      </c>
      <c r="O79" s="95" t="s">
        <v>246</v>
      </c>
      <c r="P79" s="96" t="s">
        <v>860</v>
      </c>
      <c r="Q79" s="96" t="s">
        <v>888</v>
      </c>
      <c r="R79" s="96" t="s">
        <v>956</v>
      </c>
      <c r="S79" s="95" t="s">
        <v>245</v>
      </c>
    </row>
    <row r="80" spans="1:19" ht="21.75" customHeight="1" x14ac:dyDescent="0.3">
      <c r="A80" s="90">
        <v>75</v>
      </c>
      <c r="B80" s="91" t="s">
        <v>954</v>
      </c>
      <c r="C80" s="92" t="s">
        <v>958</v>
      </c>
      <c r="D80" s="92"/>
      <c r="E80" s="92" t="s">
        <v>140</v>
      </c>
      <c r="F80" s="91" t="s">
        <v>284</v>
      </c>
      <c r="G80" s="91" t="s">
        <v>245</v>
      </c>
      <c r="H80" s="91" t="s">
        <v>245</v>
      </c>
      <c r="I80" s="91" t="s">
        <v>245</v>
      </c>
      <c r="J80" s="93" t="s">
        <v>246</v>
      </c>
      <c r="K80" s="91">
        <v>127</v>
      </c>
      <c r="L80" s="91">
        <v>6984</v>
      </c>
      <c r="M80" s="91" t="s">
        <v>245</v>
      </c>
      <c r="N80" s="91" t="s">
        <v>247</v>
      </c>
      <c r="O80" s="91" t="s">
        <v>246</v>
      </c>
      <c r="P80" s="92" t="s">
        <v>866</v>
      </c>
      <c r="Q80" s="92" t="s">
        <v>888</v>
      </c>
      <c r="R80" s="92" t="s">
        <v>956</v>
      </c>
      <c r="S80" s="91" t="s">
        <v>245</v>
      </c>
    </row>
    <row r="81" spans="1:19" ht="21.75" customHeight="1" x14ac:dyDescent="0.3">
      <c r="A81" s="94">
        <v>76</v>
      </c>
      <c r="B81" s="95" t="s">
        <v>954</v>
      </c>
      <c r="C81" s="96" t="s">
        <v>959</v>
      </c>
      <c r="D81" s="96"/>
      <c r="E81" s="96" t="s">
        <v>140</v>
      </c>
      <c r="F81" s="95" t="s">
        <v>273</v>
      </c>
      <c r="G81" s="95" t="s">
        <v>245</v>
      </c>
      <c r="H81" s="95" t="s">
        <v>245</v>
      </c>
      <c r="I81" s="95" t="s">
        <v>245</v>
      </c>
      <c r="J81" s="95" t="s">
        <v>245</v>
      </c>
      <c r="K81" s="95">
        <v>121</v>
      </c>
      <c r="L81" s="95">
        <v>6628</v>
      </c>
      <c r="M81" s="95" t="s">
        <v>246</v>
      </c>
      <c r="N81" s="95" t="s">
        <v>274</v>
      </c>
      <c r="O81" s="95" t="s">
        <v>246</v>
      </c>
      <c r="P81" s="96" t="s">
        <v>866</v>
      </c>
      <c r="Q81" s="96" t="s">
        <v>892</v>
      </c>
      <c r="R81" s="96" t="s">
        <v>956</v>
      </c>
      <c r="S81" s="95" t="s">
        <v>245</v>
      </c>
    </row>
    <row r="82" spans="1:19" ht="21.75" customHeight="1" x14ac:dyDescent="0.3">
      <c r="A82" s="90">
        <v>77</v>
      </c>
      <c r="B82" s="91" t="s">
        <v>960</v>
      </c>
      <c r="C82" s="92" t="s">
        <v>961</v>
      </c>
      <c r="D82" s="92"/>
      <c r="E82" s="92" t="s">
        <v>140</v>
      </c>
      <c r="F82" s="91" t="s">
        <v>244</v>
      </c>
      <c r="G82" s="91" t="s">
        <v>246</v>
      </c>
      <c r="H82" s="91" t="s">
        <v>246</v>
      </c>
      <c r="I82" s="91" t="s">
        <v>245</v>
      </c>
      <c r="J82" s="93" t="s">
        <v>246</v>
      </c>
      <c r="K82" s="91">
        <v>1</v>
      </c>
      <c r="L82" s="91">
        <v>0</v>
      </c>
      <c r="M82" s="91" t="s">
        <v>245</v>
      </c>
      <c r="N82" s="91" t="s">
        <v>247</v>
      </c>
      <c r="O82" s="91" t="s">
        <v>246</v>
      </c>
      <c r="P82" s="92" t="s">
        <v>878</v>
      </c>
      <c r="Q82" s="92" t="s">
        <v>888</v>
      </c>
      <c r="R82" s="92" t="s">
        <v>956</v>
      </c>
      <c r="S82" s="91" t="s">
        <v>245</v>
      </c>
    </row>
    <row r="83" spans="1:19" ht="21.75" customHeight="1" x14ac:dyDescent="0.3">
      <c r="A83" s="94">
        <v>78</v>
      </c>
      <c r="B83" s="95" t="s">
        <v>960</v>
      </c>
      <c r="C83" s="96" t="s">
        <v>962</v>
      </c>
      <c r="D83" s="96"/>
      <c r="E83" s="96" t="s">
        <v>140</v>
      </c>
      <c r="F83" s="95" t="s">
        <v>284</v>
      </c>
      <c r="G83" s="95" t="s">
        <v>245</v>
      </c>
      <c r="H83" s="95" t="s">
        <v>245</v>
      </c>
      <c r="I83" s="95" t="s">
        <v>246</v>
      </c>
      <c r="J83" s="97" t="s">
        <v>246</v>
      </c>
      <c r="K83" s="95">
        <v>101</v>
      </c>
      <c r="L83" s="95">
        <v>5558</v>
      </c>
      <c r="M83" s="95" t="s">
        <v>245</v>
      </c>
      <c r="N83" s="95" t="s">
        <v>247</v>
      </c>
      <c r="O83" s="95" t="s">
        <v>246</v>
      </c>
      <c r="P83" s="96" t="s">
        <v>860</v>
      </c>
      <c r="Q83" s="96" t="s">
        <v>888</v>
      </c>
      <c r="R83" s="96" t="s">
        <v>956</v>
      </c>
      <c r="S83" s="95" t="s">
        <v>245</v>
      </c>
    </row>
    <row r="84" spans="1:19" ht="21.75" customHeight="1" x14ac:dyDescent="0.3">
      <c r="A84" s="90">
        <v>79</v>
      </c>
      <c r="B84" s="91" t="s">
        <v>960</v>
      </c>
      <c r="C84" s="92" t="s">
        <v>963</v>
      </c>
      <c r="D84" s="92"/>
      <c r="E84" s="92" t="s">
        <v>140</v>
      </c>
      <c r="F84" s="91" t="s">
        <v>284</v>
      </c>
      <c r="G84" s="91" t="s">
        <v>245</v>
      </c>
      <c r="H84" s="91" t="s">
        <v>245</v>
      </c>
      <c r="I84" s="91" t="s">
        <v>246</v>
      </c>
      <c r="J84" s="93" t="s">
        <v>246</v>
      </c>
      <c r="K84" s="91">
        <v>1</v>
      </c>
      <c r="L84" s="91">
        <v>0</v>
      </c>
      <c r="M84" s="91" t="s">
        <v>245</v>
      </c>
      <c r="N84" s="91" t="s">
        <v>247</v>
      </c>
      <c r="O84" s="91" t="s">
        <v>246</v>
      </c>
      <c r="P84" s="92" t="s">
        <v>860</v>
      </c>
      <c r="Q84" s="92" t="s">
        <v>888</v>
      </c>
      <c r="R84" s="92" t="s">
        <v>956</v>
      </c>
      <c r="S84" s="91" t="s">
        <v>245</v>
      </c>
    </row>
    <row r="85" spans="1:19" ht="21.75" customHeight="1" x14ac:dyDescent="0.3">
      <c r="A85" s="94">
        <v>80</v>
      </c>
      <c r="B85" s="95" t="s">
        <v>960</v>
      </c>
      <c r="C85" s="96" t="s">
        <v>964</v>
      </c>
      <c r="D85" s="96"/>
      <c r="E85" s="96" t="s">
        <v>140</v>
      </c>
      <c r="F85" s="95" t="s">
        <v>284</v>
      </c>
      <c r="G85" s="95" t="s">
        <v>245</v>
      </c>
      <c r="H85" s="95" t="s">
        <v>245</v>
      </c>
      <c r="I85" s="95" t="s">
        <v>246</v>
      </c>
      <c r="J85" s="97" t="s">
        <v>246</v>
      </c>
      <c r="K85" s="95">
        <v>177</v>
      </c>
      <c r="L85" s="95">
        <v>9729</v>
      </c>
      <c r="M85" s="95" t="s">
        <v>245</v>
      </c>
      <c r="N85" s="95" t="s">
        <v>247</v>
      </c>
      <c r="O85" s="95" t="s">
        <v>246</v>
      </c>
      <c r="P85" s="96" t="s">
        <v>860</v>
      </c>
      <c r="Q85" s="96" t="s">
        <v>888</v>
      </c>
      <c r="R85" s="96" t="s">
        <v>956</v>
      </c>
      <c r="S85" s="95" t="s">
        <v>245</v>
      </c>
    </row>
    <row r="86" spans="1:19" ht="21.75" customHeight="1" x14ac:dyDescent="0.3">
      <c r="A86" s="90">
        <v>81</v>
      </c>
      <c r="B86" s="91" t="s">
        <v>960</v>
      </c>
      <c r="C86" s="92" t="s">
        <v>965</v>
      </c>
      <c r="D86" s="92"/>
      <c r="E86" s="92" t="s">
        <v>140</v>
      </c>
      <c r="F86" s="91" t="s">
        <v>284</v>
      </c>
      <c r="G86" s="91" t="s">
        <v>246</v>
      </c>
      <c r="H86" s="91" t="s">
        <v>246</v>
      </c>
      <c r="I86" s="91" t="s">
        <v>245</v>
      </c>
      <c r="J86" s="93" t="s">
        <v>246</v>
      </c>
      <c r="K86" s="91">
        <v>42</v>
      </c>
      <c r="L86" s="91">
        <v>2306</v>
      </c>
      <c r="M86" s="91" t="s">
        <v>245</v>
      </c>
      <c r="N86" s="91" t="s">
        <v>247</v>
      </c>
      <c r="O86" s="91" t="s">
        <v>246</v>
      </c>
      <c r="P86" s="92" t="s">
        <v>878</v>
      </c>
      <c r="Q86" s="92" t="s">
        <v>888</v>
      </c>
      <c r="R86" s="92" t="s">
        <v>956</v>
      </c>
      <c r="S86" s="91" t="s">
        <v>245</v>
      </c>
    </row>
    <row r="87" spans="1:19" ht="21.75" customHeight="1" x14ac:dyDescent="0.3">
      <c r="A87" s="94">
        <v>82</v>
      </c>
      <c r="B87" s="95" t="s">
        <v>960</v>
      </c>
      <c r="C87" s="96" t="s">
        <v>966</v>
      </c>
      <c r="D87" s="96"/>
      <c r="E87" s="96" t="s">
        <v>140</v>
      </c>
      <c r="F87" s="95" t="s">
        <v>284</v>
      </c>
      <c r="G87" s="95" t="s">
        <v>245</v>
      </c>
      <c r="H87" s="95" t="s">
        <v>246</v>
      </c>
      <c r="I87" s="95" t="s">
        <v>246</v>
      </c>
      <c r="J87" s="97" t="s">
        <v>246</v>
      </c>
      <c r="K87" s="95">
        <v>189</v>
      </c>
      <c r="L87" s="95">
        <v>10398</v>
      </c>
      <c r="M87" s="95" t="s">
        <v>245</v>
      </c>
      <c r="N87" s="95" t="s">
        <v>247</v>
      </c>
      <c r="O87" s="95" t="s">
        <v>246</v>
      </c>
      <c r="P87" s="96" t="s">
        <v>860</v>
      </c>
      <c r="Q87" s="96" t="s">
        <v>888</v>
      </c>
      <c r="R87" s="96" t="s">
        <v>956</v>
      </c>
      <c r="S87" s="95" t="s">
        <v>245</v>
      </c>
    </row>
    <row r="88" spans="1:19" ht="21.75" customHeight="1" x14ac:dyDescent="0.3">
      <c r="A88" s="90">
        <v>83</v>
      </c>
      <c r="B88" s="91" t="s">
        <v>960</v>
      </c>
      <c r="C88" s="92" t="s">
        <v>967</v>
      </c>
      <c r="D88" s="92"/>
      <c r="E88" s="92" t="s">
        <v>140</v>
      </c>
      <c r="F88" s="91" t="s">
        <v>284</v>
      </c>
      <c r="G88" s="91" t="s">
        <v>245</v>
      </c>
      <c r="H88" s="91" t="s">
        <v>245</v>
      </c>
      <c r="I88" s="91" t="s">
        <v>246</v>
      </c>
      <c r="J88" s="93" t="s">
        <v>246</v>
      </c>
      <c r="K88" s="91">
        <v>1</v>
      </c>
      <c r="L88" s="91">
        <v>0</v>
      </c>
      <c r="M88" s="91" t="s">
        <v>245</v>
      </c>
      <c r="N88" s="91" t="s">
        <v>247</v>
      </c>
      <c r="O88" s="91" t="s">
        <v>246</v>
      </c>
      <c r="P88" s="92" t="s">
        <v>860</v>
      </c>
      <c r="Q88" s="92" t="s">
        <v>888</v>
      </c>
      <c r="R88" s="92" t="s">
        <v>956</v>
      </c>
      <c r="S88" s="91" t="s">
        <v>245</v>
      </c>
    </row>
    <row r="89" spans="1:19" ht="21.75" customHeight="1" x14ac:dyDescent="0.3">
      <c r="A89" s="98">
        <v>84</v>
      </c>
      <c r="B89" s="99" t="s">
        <v>859</v>
      </c>
      <c r="C89" s="100" t="s">
        <v>968</v>
      </c>
      <c r="D89" s="100"/>
      <c r="E89" s="100" t="s">
        <v>147</v>
      </c>
      <c r="F89" s="99" t="s">
        <v>284</v>
      </c>
      <c r="G89" s="99" t="s">
        <v>245</v>
      </c>
      <c r="H89" s="99" t="s">
        <v>245</v>
      </c>
      <c r="I89" s="99" t="s">
        <v>245</v>
      </c>
      <c r="J89" s="99" t="s">
        <v>245</v>
      </c>
      <c r="K89" s="99">
        <v>1305</v>
      </c>
      <c r="L89" s="99">
        <v>71752</v>
      </c>
      <c r="M89" s="99" t="s">
        <v>245</v>
      </c>
      <c r="N89" s="99" t="s">
        <v>254</v>
      </c>
      <c r="O89" s="99" t="s">
        <v>245</v>
      </c>
      <c r="P89" s="100" t="s">
        <v>866</v>
      </c>
      <c r="Q89" s="100" t="s">
        <v>868</v>
      </c>
      <c r="R89" s="100" t="s">
        <v>869</v>
      </c>
      <c r="S89" s="99" t="s">
        <v>246</v>
      </c>
    </row>
    <row r="90" spans="1:19" ht="21.75" customHeight="1" x14ac:dyDescent="0.3">
      <c r="A90" s="101">
        <v>85</v>
      </c>
      <c r="B90" s="102" t="s">
        <v>859</v>
      </c>
      <c r="C90" s="103" t="s">
        <v>969</v>
      </c>
      <c r="D90" s="103"/>
      <c r="E90" s="103" t="s">
        <v>147</v>
      </c>
      <c r="F90" s="102" t="s">
        <v>284</v>
      </c>
      <c r="G90" s="102" t="s">
        <v>245</v>
      </c>
      <c r="H90" s="102" t="s">
        <v>245</v>
      </c>
      <c r="I90" s="102" t="s">
        <v>245</v>
      </c>
      <c r="J90" s="102" t="s">
        <v>245</v>
      </c>
      <c r="K90" s="102">
        <v>619</v>
      </c>
      <c r="L90" s="102">
        <v>34025</v>
      </c>
      <c r="M90" s="102" t="s">
        <v>245</v>
      </c>
      <c r="N90" s="102" t="s">
        <v>254</v>
      </c>
      <c r="O90" s="102" t="s">
        <v>245</v>
      </c>
      <c r="P90" s="103" t="s">
        <v>866</v>
      </c>
      <c r="Q90" s="103" t="s">
        <v>868</v>
      </c>
      <c r="R90" s="103" t="s">
        <v>869</v>
      </c>
      <c r="S90" s="102" t="s">
        <v>246</v>
      </c>
    </row>
    <row r="91" spans="1:19" ht="21.75" customHeight="1" x14ac:dyDescent="0.3">
      <c r="A91" s="98">
        <v>86</v>
      </c>
      <c r="B91" s="99" t="s">
        <v>859</v>
      </c>
      <c r="C91" s="100" t="s">
        <v>970</v>
      </c>
      <c r="D91" s="100"/>
      <c r="E91" s="100" t="s">
        <v>147</v>
      </c>
      <c r="F91" s="99" t="s">
        <v>284</v>
      </c>
      <c r="G91" s="99" t="s">
        <v>245</v>
      </c>
      <c r="H91" s="99" t="s">
        <v>245</v>
      </c>
      <c r="I91" s="99" t="s">
        <v>246</v>
      </c>
      <c r="J91" s="99" t="s">
        <v>245</v>
      </c>
      <c r="K91" s="99">
        <v>593</v>
      </c>
      <c r="L91" s="99">
        <v>32605</v>
      </c>
      <c r="M91" s="99" t="s">
        <v>245</v>
      </c>
      <c r="N91" s="99" t="s">
        <v>254</v>
      </c>
      <c r="O91" s="99" t="s">
        <v>245</v>
      </c>
      <c r="P91" s="100" t="s">
        <v>860</v>
      </c>
      <c r="Q91" s="100" t="s">
        <v>868</v>
      </c>
      <c r="R91" s="100" t="s">
        <v>869</v>
      </c>
      <c r="S91" s="99" t="s">
        <v>245</v>
      </c>
    </row>
    <row r="92" spans="1:19" ht="21.75" customHeight="1" x14ac:dyDescent="0.3">
      <c r="A92" s="101">
        <v>87</v>
      </c>
      <c r="B92" s="102" t="s">
        <v>859</v>
      </c>
      <c r="C92" s="103" t="s">
        <v>971</v>
      </c>
      <c r="D92" s="103"/>
      <c r="E92" s="103" t="s">
        <v>147</v>
      </c>
      <c r="F92" s="102" t="s">
        <v>284</v>
      </c>
      <c r="G92" s="102" t="s">
        <v>245</v>
      </c>
      <c r="H92" s="102" t="s">
        <v>245</v>
      </c>
      <c r="I92" s="102" t="s">
        <v>245</v>
      </c>
      <c r="J92" s="102" t="s">
        <v>245</v>
      </c>
      <c r="K92" s="102">
        <v>456</v>
      </c>
      <c r="L92" s="102">
        <v>25055</v>
      </c>
      <c r="M92" s="102" t="s">
        <v>245</v>
      </c>
      <c r="N92" s="102" t="s">
        <v>247</v>
      </c>
      <c r="O92" s="102" t="s">
        <v>246</v>
      </c>
      <c r="P92" s="103" t="s">
        <v>866</v>
      </c>
      <c r="Q92" s="103" t="s">
        <v>868</v>
      </c>
      <c r="R92" s="103" t="s">
        <v>869</v>
      </c>
      <c r="S92" s="102" t="s">
        <v>246</v>
      </c>
    </row>
    <row r="93" spans="1:19" ht="21.75" customHeight="1" x14ac:dyDescent="0.3">
      <c r="A93" s="98">
        <v>88</v>
      </c>
      <c r="B93" s="99" t="s">
        <v>972</v>
      </c>
      <c r="C93" s="100" t="s">
        <v>973</v>
      </c>
      <c r="D93" s="100"/>
      <c r="E93" s="100" t="s">
        <v>147</v>
      </c>
      <c r="F93" s="99" t="s">
        <v>266</v>
      </c>
      <c r="G93" s="99" t="s">
        <v>245</v>
      </c>
      <c r="H93" s="99" t="s">
        <v>245</v>
      </c>
      <c r="I93" s="99" t="s">
        <v>246</v>
      </c>
      <c r="J93" s="104" t="s">
        <v>246</v>
      </c>
      <c r="K93" s="99">
        <v>367</v>
      </c>
      <c r="L93" s="99">
        <v>20204</v>
      </c>
      <c r="M93" s="99" t="s">
        <v>245</v>
      </c>
      <c r="N93" s="99" t="s">
        <v>267</v>
      </c>
      <c r="O93" s="99" t="s">
        <v>246</v>
      </c>
      <c r="P93" s="100" t="s">
        <v>860</v>
      </c>
      <c r="Q93" s="100" t="s">
        <v>861</v>
      </c>
      <c r="R93" s="100" t="s">
        <v>862</v>
      </c>
      <c r="S93" s="99" t="s">
        <v>245</v>
      </c>
    </row>
    <row r="94" spans="1:19" ht="21.75" customHeight="1" x14ac:dyDescent="0.3">
      <c r="A94" s="101">
        <v>89</v>
      </c>
      <c r="B94" s="102" t="s">
        <v>972</v>
      </c>
      <c r="C94" s="103" t="s">
        <v>974</v>
      </c>
      <c r="D94" s="103"/>
      <c r="E94" s="103" t="s">
        <v>147</v>
      </c>
      <c r="F94" s="102" t="s">
        <v>284</v>
      </c>
      <c r="G94" s="102" t="s">
        <v>245</v>
      </c>
      <c r="H94" s="102" t="s">
        <v>245</v>
      </c>
      <c r="I94" s="102" t="s">
        <v>245</v>
      </c>
      <c r="J94" s="105" t="s">
        <v>246</v>
      </c>
      <c r="K94" s="102">
        <v>320</v>
      </c>
      <c r="L94" s="102">
        <v>17614</v>
      </c>
      <c r="M94" s="102" t="s">
        <v>245</v>
      </c>
      <c r="N94" s="102" t="s">
        <v>247</v>
      </c>
      <c r="O94" s="102" t="s">
        <v>246</v>
      </c>
      <c r="P94" s="103" t="s">
        <v>866</v>
      </c>
      <c r="Q94" s="103" t="s">
        <v>861</v>
      </c>
      <c r="R94" s="103" t="s">
        <v>862</v>
      </c>
      <c r="S94" s="102" t="s">
        <v>245</v>
      </c>
    </row>
    <row r="95" spans="1:19" ht="21.75" customHeight="1" x14ac:dyDescent="0.3">
      <c r="A95" s="98">
        <v>90</v>
      </c>
      <c r="B95" s="99" t="s">
        <v>972</v>
      </c>
      <c r="C95" s="100" t="s">
        <v>975</v>
      </c>
      <c r="D95" s="100"/>
      <c r="E95" s="100" t="s">
        <v>147</v>
      </c>
      <c r="F95" s="99" t="s">
        <v>284</v>
      </c>
      <c r="G95" s="99" t="s">
        <v>245</v>
      </c>
      <c r="H95" s="99" t="s">
        <v>245</v>
      </c>
      <c r="I95" s="99" t="s">
        <v>245</v>
      </c>
      <c r="J95" s="99" t="s">
        <v>245</v>
      </c>
      <c r="K95" s="99">
        <v>278</v>
      </c>
      <c r="L95" s="99">
        <v>15283</v>
      </c>
      <c r="M95" s="99" t="s">
        <v>245</v>
      </c>
      <c r="N95" s="99" t="s">
        <v>247</v>
      </c>
      <c r="O95" s="99" t="s">
        <v>246</v>
      </c>
      <c r="P95" s="100" t="s">
        <v>866</v>
      </c>
      <c r="Q95" s="100" t="s">
        <v>868</v>
      </c>
      <c r="R95" s="100" t="s">
        <v>869</v>
      </c>
      <c r="S95" s="99" t="s">
        <v>246</v>
      </c>
    </row>
    <row r="96" spans="1:19" ht="21.75" customHeight="1" x14ac:dyDescent="0.3">
      <c r="A96" s="101">
        <v>91</v>
      </c>
      <c r="B96" s="102" t="s">
        <v>972</v>
      </c>
      <c r="C96" s="103" t="s">
        <v>976</v>
      </c>
      <c r="D96" s="103"/>
      <c r="E96" s="103" t="s">
        <v>147</v>
      </c>
      <c r="F96" s="102" t="s">
        <v>284</v>
      </c>
      <c r="G96" s="102" t="s">
        <v>245</v>
      </c>
      <c r="H96" s="102" t="s">
        <v>245</v>
      </c>
      <c r="I96" s="102" t="s">
        <v>245</v>
      </c>
      <c r="J96" s="105" t="s">
        <v>246</v>
      </c>
      <c r="K96" s="102">
        <v>249</v>
      </c>
      <c r="L96" s="102">
        <v>13719</v>
      </c>
      <c r="M96" s="102" t="s">
        <v>245</v>
      </c>
      <c r="N96" s="102" t="s">
        <v>247</v>
      </c>
      <c r="O96" s="102" t="s">
        <v>246</v>
      </c>
      <c r="P96" s="103" t="s">
        <v>866</v>
      </c>
      <c r="Q96" s="103" t="s">
        <v>861</v>
      </c>
      <c r="R96" s="103" t="s">
        <v>862</v>
      </c>
      <c r="S96" s="102" t="s">
        <v>245</v>
      </c>
    </row>
    <row r="97" spans="1:19" ht="21.75" customHeight="1" x14ac:dyDescent="0.3">
      <c r="A97" s="98">
        <v>92</v>
      </c>
      <c r="B97" s="99" t="s">
        <v>977</v>
      </c>
      <c r="C97" s="100" t="s">
        <v>978</v>
      </c>
      <c r="D97" s="100"/>
      <c r="E97" s="100" t="s">
        <v>147</v>
      </c>
      <c r="F97" s="99" t="s">
        <v>284</v>
      </c>
      <c r="G97" s="99" t="s">
        <v>245</v>
      </c>
      <c r="H97" s="99" t="s">
        <v>245</v>
      </c>
      <c r="I97" s="99" t="s">
        <v>245</v>
      </c>
      <c r="J97" s="104" t="s">
        <v>246</v>
      </c>
      <c r="K97" s="99">
        <v>245</v>
      </c>
      <c r="L97" s="99">
        <v>13470</v>
      </c>
      <c r="M97" s="99" t="s">
        <v>245</v>
      </c>
      <c r="N97" s="99" t="s">
        <v>247</v>
      </c>
      <c r="O97" s="99" t="s">
        <v>246</v>
      </c>
      <c r="P97" s="100" t="s">
        <v>866</v>
      </c>
      <c r="Q97" s="100" t="s">
        <v>861</v>
      </c>
      <c r="R97" s="100" t="s">
        <v>862</v>
      </c>
      <c r="S97" s="99" t="s">
        <v>245</v>
      </c>
    </row>
    <row r="98" spans="1:19" ht="21.75" customHeight="1" x14ac:dyDescent="0.3">
      <c r="A98" s="101">
        <v>93</v>
      </c>
      <c r="B98" s="102" t="s">
        <v>977</v>
      </c>
      <c r="C98" s="103" t="s">
        <v>979</v>
      </c>
      <c r="D98" s="103"/>
      <c r="E98" s="103" t="s">
        <v>147</v>
      </c>
      <c r="F98" s="102" t="s">
        <v>260</v>
      </c>
      <c r="G98" s="102" t="s">
        <v>245</v>
      </c>
      <c r="H98" s="102" t="s">
        <v>245</v>
      </c>
      <c r="I98" s="102" t="s">
        <v>246</v>
      </c>
      <c r="J98" s="105" t="s">
        <v>246</v>
      </c>
      <c r="K98" s="102">
        <v>239</v>
      </c>
      <c r="L98" s="102">
        <v>13131</v>
      </c>
      <c r="M98" s="102" t="s">
        <v>245</v>
      </c>
      <c r="N98" s="102" t="s">
        <v>254</v>
      </c>
      <c r="O98" s="102" t="s">
        <v>245</v>
      </c>
      <c r="P98" s="103" t="s">
        <v>860</v>
      </c>
      <c r="Q98" s="103" t="s">
        <v>861</v>
      </c>
      <c r="R98" s="103" t="s">
        <v>862</v>
      </c>
      <c r="S98" s="102" t="s">
        <v>245</v>
      </c>
    </row>
    <row r="99" spans="1:19" ht="21.75" customHeight="1" x14ac:dyDescent="0.3">
      <c r="A99" s="98">
        <v>94</v>
      </c>
      <c r="B99" s="99" t="s">
        <v>977</v>
      </c>
      <c r="C99" s="100" t="s">
        <v>980</v>
      </c>
      <c r="D99" s="100"/>
      <c r="E99" s="100" t="s">
        <v>147</v>
      </c>
      <c r="F99" s="99" t="s">
        <v>284</v>
      </c>
      <c r="G99" s="99" t="s">
        <v>245</v>
      </c>
      <c r="H99" s="99" t="s">
        <v>245</v>
      </c>
      <c r="I99" s="99" t="s">
        <v>246</v>
      </c>
      <c r="J99" s="99" t="s">
        <v>245</v>
      </c>
      <c r="K99" s="99">
        <v>225</v>
      </c>
      <c r="L99" s="99">
        <v>12358</v>
      </c>
      <c r="M99" s="99" t="s">
        <v>245</v>
      </c>
      <c r="N99" s="99" t="s">
        <v>247</v>
      </c>
      <c r="O99" s="99" t="s">
        <v>246</v>
      </c>
      <c r="P99" s="100" t="s">
        <v>860</v>
      </c>
      <c r="Q99" s="100" t="s">
        <v>868</v>
      </c>
      <c r="R99" s="100" t="s">
        <v>869</v>
      </c>
      <c r="S99" s="99" t="s">
        <v>245</v>
      </c>
    </row>
    <row r="100" spans="1:19" ht="21.75" customHeight="1" x14ac:dyDescent="0.3">
      <c r="A100" s="101">
        <v>95</v>
      </c>
      <c r="B100" s="102" t="s">
        <v>977</v>
      </c>
      <c r="C100" s="103" t="s">
        <v>981</v>
      </c>
      <c r="D100" s="103"/>
      <c r="E100" s="103" t="s">
        <v>147</v>
      </c>
      <c r="F100" s="102" t="s">
        <v>891</v>
      </c>
      <c r="G100" s="102" t="s">
        <v>245</v>
      </c>
      <c r="H100" s="102" t="s">
        <v>245</v>
      </c>
      <c r="I100" s="102" t="s">
        <v>246</v>
      </c>
      <c r="J100" s="102" t="s">
        <v>245</v>
      </c>
      <c r="K100" s="102">
        <v>175</v>
      </c>
      <c r="L100" s="102">
        <v>9639</v>
      </c>
      <c r="M100" s="102" t="s">
        <v>245</v>
      </c>
      <c r="N100" s="102" t="s">
        <v>267</v>
      </c>
      <c r="O100" s="102" t="s">
        <v>246</v>
      </c>
      <c r="P100" s="103" t="s">
        <v>860</v>
      </c>
      <c r="Q100" s="103" t="s">
        <v>868</v>
      </c>
      <c r="R100" s="103" t="s">
        <v>869</v>
      </c>
      <c r="S100" s="102" t="s">
        <v>246</v>
      </c>
    </row>
    <row r="101" spans="1:19" ht="21.75" customHeight="1" x14ac:dyDescent="0.3">
      <c r="A101" s="98">
        <v>96</v>
      </c>
      <c r="B101" s="99" t="s">
        <v>925</v>
      </c>
      <c r="C101" s="100" t="s">
        <v>929</v>
      </c>
      <c r="D101" s="100"/>
      <c r="E101" s="100" t="s">
        <v>147</v>
      </c>
      <c r="F101" s="99" t="s">
        <v>284</v>
      </c>
      <c r="G101" s="99" t="s">
        <v>246</v>
      </c>
      <c r="H101" s="99" t="s">
        <v>245</v>
      </c>
      <c r="I101" s="99" t="s">
        <v>246</v>
      </c>
      <c r="J101" s="104" t="s">
        <v>246</v>
      </c>
      <c r="K101" s="99">
        <v>1</v>
      </c>
      <c r="L101" s="99">
        <v>0</v>
      </c>
      <c r="M101" s="99" t="s">
        <v>245</v>
      </c>
      <c r="N101" s="99" t="s">
        <v>247</v>
      </c>
      <c r="O101" s="99" t="s">
        <v>246</v>
      </c>
      <c r="P101" s="100" t="s">
        <v>406</v>
      </c>
      <c r="Q101" s="100" t="s">
        <v>888</v>
      </c>
      <c r="R101" s="100" t="s">
        <v>982</v>
      </c>
      <c r="S101" s="99" t="s">
        <v>245</v>
      </c>
    </row>
    <row r="102" spans="1:19" ht="21.75" customHeight="1" x14ac:dyDescent="0.3">
      <c r="A102" s="101">
        <v>97</v>
      </c>
      <c r="B102" s="102" t="s">
        <v>925</v>
      </c>
      <c r="C102" s="103" t="s">
        <v>983</v>
      </c>
      <c r="D102" s="103"/>
      <c r="E102" s="103" t="s">
        <v>147</v>
      </c>
      <c r="F102" s="102" t="s">
        <v>284</v>
      </c>
      <c r="G102" s="102" t="s">
        <v>245</v>
      </c>
      <c r="H102" s="102" t="s">
        <v>245</v>
      </c>
      <c r="I102" s="102" t="s">
        <v>246</v>
      </c>
      <c r="J102" s="105" t="s">
        <v>246</v>
      </c>
      <c r="K102" s="102">
        <v>1</v>
      </c>
      <c r="L102" s="102">
        <v>0</v>
      </c>
      <c r="M102" s="102" t="s">
        <v>245</v>
      </c>
      <c r="N102" s="102" t="s">
        <v>247</v>
      </c>
      <c r="O102" s="102" t="s">
        <v>246</v>
      </c>
      <c r="P102" s="103" t="s">
        <v>860</v>
      </c>
      <c r="Q102" s="103" t="s">
        <v>888</v>
      </c>
      <c r="R102" s="103" t="s">
        <v>982</v>
      </c>
      <c r="S102" s="102" t="s">
        <v>245</v>
      </c>
    </row>
    <row r="103" spans="1:19" ht="21.75" customHeight="1" x14ac:dyDescent="0.3">
      <c r="A103" s="98">
        <v>98</v>
      </c>
      <c r="B103" s="99" t="s">
        <v>925</v>
      </c>
      <c r="C103" s="100" t="s">
        <v>984</v>
      </c>
      <c r="D103" s="100"/>
      <c r="E103" s="100" t="s">
        <v>147</v>
      </c>
      <c r="F103" s="99" t="s">
        <v>284</v>
      </c>
      <c r="G103" s="99" t="s">
        <v>245</v>
      </c>
      <c r="H103" s="99" t="s">
        <v>245</v>
      </c>
      <c r="I103" s="99" t="s">
        <v>246</v>
      </c>
      <c r="J103" s="99" t="s">
        <v>245</v>
      </c>
      <c r="K103" s="99">
        <v>107</v>
      </c>
      <c r="L103" s="99">
        <v>5878</v>
      </c>
      <c r="M103" s="99" t="s">
        <v>245</v>
      </c>
      <c r="N103" s="99" t="s">
        <v>247</v>
      </c>
      <c r="O103" s="99" t="s">
        <v>246</v>
      </c>
      <c r="P103" s="100" t="s">
        <v>860</v>
      </c>
      <c r="Q103" s="100" t="s">
        <v>892</v>
      </c>
      <c r="R103" s="100" t="s">
        <v>982</v>
      </c>
      <c r="S103" s="99" t="s">
        <v>245</v>
      </c>
    </row>
    <row r="104" spans="1:19" ht="21.75" customHeight="1" x14ac:dyDescent="0.3">
      <c r="A104" s="101">
        <v>99</v>
      </c>
      <c r="B104" s="102" t="s">
        <v>925</v>
      </c>
      <c r="C104" s="103" t="s">
        <v>985</v>
      </c>
      <c r="D104" s="103"/>
      <c r="E104" s="103" t="s">
        <v>147</v>
      </c>
      <c r="F104" s="102" t="s">
        <v>284</v>
      </c>
      <c r="G104" s="102" t="s">
        <v>245</v>
      </c>
      <c r="H104" s="102" t="s">
        <v>245</v>
      </c>
      <c r="I104" s="102" t="s">
        <v>246</v>
      </c>
      <c r="J104" s="105" t="s">
        <v>246</v>
      </c>
      <c r="K104" s="102">
        <v>43</v>
      </c>
      <c r="L104" s="102">
        <v>2354</v>
      </c>
      <c r="M104" s="102" t="s">
        <v>245</v>
      </c>
      <c r="N104" s="102" t="s">
        <v>247</v>
      </c>
      <c r="O104" s="102" t="s">
        <v>246</v>
      </c>
      <c r="P104" s="103" t="s">
        <v>860</v>
      </c>
      <c r="Q104" s="103" t="s">
        <v>888</v>
      </c>
      <c r="R104" s="103" t="s">
        <v>982</v>
      </c>
      <c r="S104" s="102" t="s">
        <v>245</v>
      </c>
    </row>
    <row r="105" spans="1:19" ht="21.75" customHeight="1" x14ac:dyDescent="0.3">
      <c r="A105" s="98">
        <v>100</v>
      </c>
      <c r="B105" s="99" t="s">
        <v>933</v>
      </c>
      <c r="C105" s="100" t="s">
        <v>986</v>
      </c>
      <c r="D105" s="100"/>
      <c r="E105" s="100" t="s">
        <v>147</v>
      </c>
      <c r="F105" s="99" t="s">
        <v>284</v>
      </c>
      <c r="G105" s="99" t="s">
        <v>246</v>
      </c>
      <c r="H105" s="99" t="s">
        <v>246</v>
      </c>
      <c r="I105" s="99" t="s">
        <v>245</v>
      </c>
      <c r="J105" s="104" t="s">
        <v>246</v>
      </c>
      <c r="K105" s="99">
        <v>63</v>
      </c>
      <c r="L105" s="99">
        <v>3458</v>
      </c>
      <c r="M105" s="99" t="s">
        <v>245</v>
      </c>
      <c r="N105" s="99" t="s">
        <v>247</v>
      </c>
      <c r="O105" s="99" t="s">
        <v>246</v>
      </c>
      <c r="P105" s="100" t="s">
        <v>878</v>
      </c>
      <c r="Q105" s="100" t="s">
        <v>888</v>
      </c>
      <c r="R105" s="100" t="s">
        <v>982</v>
      </c>
      <c r="S105" s="99" t="s">
        <v>245</v>
      </c>
    </row>
    <row r="106" spans="1:19" ht="21.75" customHeight="1" x14ac:dyDescent="0.3">
      <c r="A106" s="101">
        <v>101</v>
      </c>
      <c r="B106" s="102" t="s">
        <v>933</v>
      </c>
      <c r="C106" s="103" t="s">
        <v>987</v>
      </c>
      <c r="D106" s="103"/>
      <c r="E106" s="103" t="s">
        <v>147</v>
      </c>
      <c r="F106" s="102" t="s">
        <v>284</v>
      </c>
      <c r="G106" s="102" t="s">
        <v>245</v>
      </c>
      <c r="H106" s="102" t="s">
        <v>245</v>
      </c>
      <c r="I106" s="102" t="s">
        <v>245</v>
      </c>
      <c r="J106" s="102" t="s">
        <v>245</v>
      </c>
      <c r="K106" s="102">
        <v>108</v>
      </c>
      <c r="L106" s="102">
        <v>5916</v>
      </c>
      <c r="M106" s="102" t="s">
        <v>245</v>
      </c>
      <c r="N106" s="102" t="s">
        <v>247</v>
      </c>
      <c r="O106" s="102" t="s">
        <v>246</v>
      </c>
      <c r="P106" s="103" t="s">
        <v>866</v>
      </c>
      <c r="Q106" s="103" t="s">
        <v>892</v>
      </c>
      <c r="R106" s="103" t="s">
        <v>982</v>
      </c>
      <c r="S106" s="102" t="s">
        <v>245</v>
      </c>
    </row>
    <row r="107" spans="1:19" ht="21.75" customHeight="1" x14ac:dyDescent="0.3">
      <c r="A107" s="98">
        <v>102</v>
      </c>
      <c r="B107" s="99" t="s">
        <v>933</v>
      </c>
      <c r="C107" s="100" t="s">
        <v>988</v>
      </c>
      <c r="D107" s="100"/>
      <c r="E107" s="100" t="s">
        <v>147</v>
      </c>
      <c r="F107" s="99" t="s">
        <v>284</v>
      </c>
      <c r="G107" s="99" t="s">
        <v>245</v>
      </c>
      <c r="H107" s="99" t="s">
        <v>245</v>
      </c>
      <c r="I107" s="99" t="s">
        <v>245</v>
      </c>
      <c r="J107" s="104" t="s">
        <v>246</v>
      </c>
      <c r="K107" s="99">
        <v>146</v>
      </c>
      <c r="L107" s="99">
        <v>8057</v>
      </c>
      <c r="M107" s="99" t="s">
        <v>245</v>
      </c>
      <c r="N107" s="99" t="s">
        <v>247</v>
      </c>
      <c r="O107" s="99" t="s">
        <v>246</v>
      </c>
      <c r="P107" s="100" t="s">
        <v>866</v>
      </c>
      <c r="Q107" s="100" t="s">
        <v>888</v>
      </c>
      <c r="R107" s="100" t="s">
        <v>982</v>
      </c>
      <c r="S107" s="99" t="s">
        <v>245</v>
      </c>
    </row>
    <row r="108" spans="1:19" ht="21.75" customHeight="1" x14ac:dyDescent="0.3">
      <c r="A108" s="101">
        <v>103</v>
      </c>
      <c r="B108" s="102" t="s">
        <v>933</v>
      </c>
      <c r="C108" s="103" t="s">
        <v>989</v>
      </c>
      <c r="D108" s="103"/>
      <c r="E108" s="103" t="s">
        <v>147</v>
      </c>
      <c r="F108" s="102" t="s">
        <v>891</v>
      </c>
      <c r="G108" s="102" t="s">
        <v>245</v>
      </c>
      <c r="H108" s="102" t="s">
        <v>245</v>
      </c>
      <c r="I108" s="102" t="s">
        <v>245</v>
      </c>
      <c r="J108" s="105" t="s">
        <v>246</v>
      </c>
      <c r="K108" s="102">
        <v>64</v>
      </c>
      <c r="L108" s="102">
        <v>3514</v>
      </c>
      <c r="M108" s="102" t="s">
        <v>245</v>
      </c>
      <c r="N108" s="102" t="s">
        <v>267</v>
      </c>
      <c r="O108" s="102" t="s">
        <v>246</v>
      </c>
      <c r="P108" s="103" t="s">
        <v>866</v>
      </c>
      <c r="Q108" s="103" t="s">
        <v>888</v>
      </c>
      <c r="R108" s="103" t="s">
        <v>982</v>
      </c>
      <c r="S108" s="102" t="s">
        <v>245</v>
      </c>
    </row>
    <row r="109" spans="1:19" ht="21.75" customHeight="1" x14ac:dyDescent="0.3">
      <c r="A109" s="98">
        <v>104</v>
      </c>
      <c r="B109" s="99" t="s">
        <v>933</v>
      </c>
      <c r="C109" s="100" t="s">
        <v>990</v>
      </c>
      <c r="D109" s="100"/>
      <c r="E109" s="100" t="s">
        <v>147</v>
      </c>
      <c r="F109" s="99" t="s">
        <v>284</v>
      </c>
      <c r="G109" s="99" t="s">
        <v>246</v>
      </c>
      <c r="H109" s="99" t="s">
        <v>245</v>
      </c>
      <c r="I109" s="99" t="s">
        <v>246</v>
      </c>
      <c r="J109" s="104" t="s">
        <v>246</v>
      </c>
      <c r="K109" s="99">
        <v>1</v>
      </c>
      <c r="L109" s="99">
        <v>0</v>
      </c>
      <c r="M109" s="99" t="s">
        <v>245</v>
      </c>
      <c r="N109" s="99" t="s">
        <v>247</v>
      </c>
      <c r="O109" s="99" t="s">
        <v>246</v>
      </c>
      <c r="P109" s="100" t="s">
        <v>406</v>
      </c>
      <c r="Q109" s="100" t="s">
        <v>888</v>
      </c>
      <c r="R109" s="100" t="s">
        <v>982</v>
      </c>
      <c r="S109" s="99" t="s">
        <v>245</v>
      </c>
    </row>
    <row r="110" spans="1:19" ht="21.75" customHeight="1" x14ac:dyDescent="0.3">
      <c r="A110" s="101">
        <v>105</v>
      </c>
      <c r="B110" s="102" t="s">
        <v>933</v>
      </c>
      <c r="C110" s="103" t="s">
        <v>991</v>
      </c>
      <c r="D110" s="103"/>
      <c r="E110" s="103" t="s">
        <v>147</v>
      </c>
      <c r="F110" s="102" t="s">
        <v>273</v>
      </c>
      <c r="G110" s="102" t="s">
        <v>246</v>
      </c>
      <c r="H110" s="102" t="s">
        <v>246</v>
      </c>
      <c r="I110" s="102" t="s">
        <v>245</v>
      </c>
      <c r="J110" s="105" t="s">
        <v>246</v>
      </c>
      <c r="K110" s="102">
        <v>7</v>
      </c>
      <c r="L110" s="102">
        <v>375</v>
      </c>
      <c r="M110" s="102" t="s">
        <v>245</v>
      </c>
      <c r="N110" s="102" t="s">
        <v>247</v>
      </c>
      <c r="O110" s="102" t="s">
        <v>246</v>
      </c>
      <c r="P110" s="103" t="s">
        <v>878</v>
      </c>
      <c r="Q110" s="103" t="s">
        <v>888</v>
      </c>
      <c r="R110" s="103" t="s">
        <v>982</v>
      </c>
      <c r="S110" s="102" t="s">
        <v>245</v>
      </c>
    </row>
    <row r="111" spans="1:19" ht="21.75" customHeight="1" x14ac:dyDescent="0.3">
      <c r="A111" s="98">
        <v>106</v>
      </c>
      <c r="B111" s="99" t="s">
        <v>933</v>
      </c>
      <c r="C111" s="100" t="s">
        <v>992</v>
      </c>
      <c r="D111" s="100"/>
      <c r="E111" s="100" t="s">
        <v>147</v>
      </c>
      <c r="F111" s="99" t="s">
        <v>273</v>
      </c>
      <c r="G111" s="99" t="s">
        <v>246</v>
      </c>
      <c r="H111" s="99" t="s">
        <v>246</v>
      </c>
      <c r="I111" s="99" t="s">
        <v>245</v>
      </c>
      <c r="J111" s="104" t="s">
        <v>246</v>
      </c>
      <c r="K111" s="99">
        <v>47</v>
      </c>
      <c r="L111" s="99">
        <v>2561</v>
      </c>
      <c r="M111" s="99" t="s">
        <v>246</v>
      </c>
      <c r="N111" s="99" t="s">
        <v>274</v>
      </c>
      <c r="O111" s="99" t="s">
        <v>246</v>
      </c>
      <c r="P111" s="100" t="s">
        <v>878</v>
      </c>
      <c r="Q111" s="100" t="s">
        <v>888</v>
      </c>
      <c r="R111" s="100" t="s">
        <v>982</v>
      </c>
      <c r="S111" s="99" t="s">
        <v>245</v>
      </c>
    </row>
    <row r="112" spans="1:19" ht="21.75" customHeight="1" x14ac:dyDescent="0.3">
      <c r="A112" s="101">
        <v>107</v>
      </c>
      <c r="B112" s="102" t="s">
        <v>933</v>
      </c>
      <c r="C112" s="103" t="s">
        <v>993</v>
      </c>
      <c r="D112" s="103"/>
      <c r="E112" s="103" t="s">
        <v>147</v>
      </c>
      <c r="F112" s="102" t="s">
        <v>273</v>
      </c>
      <c r="G112" s="102" t="s">
        <v>246</v>
      </c>
      <c r="H112" s="102" t="s">
        <v>246</v>
      </c>
      <c r="I112" s="102" t="s">
        <v>245</v>
      </c>
      <c r="J112" s="105" t="s">
        <v>246</v>
      </c>
      <c r="K112" s="102">
        <v>27</v>
      </c>
      <c r="L112" s="102">
        <v>1486</v>
      </c>
      <c r="M112" s="102" t="s">
        <v>246</v>
      </c>
      <c r="N112" s="102" t="s">
        <v>274</v>
      </c>
      <c r="O112" s="102" t="s">
        <v>246</v>
      </c>
      <c r="P112" s="103" t="s">
        <v>878</v>
      </c>
      <c r="Q112" s="103" t="s">
        <v>888</v>
      </c>
      <c r="R112" s="103" t="s">
        <v>982</v>
      </c>
      <c r="S112" s="102" t="s">
        <v>245</v>
      </c>
    </row>
    <row r="113" spans="1:19" ht="21.75" customHeight="1" x14ac:dyDescent="0.3">
      <c r="A113" s="106">
        <v>108</v>
      </c>
      <c r="B113" s="107" t="s">
        <v>904</v>
      </c>
      <c r="C113" s="108" t="s">
        <v>994</v>
      </c>
      <c r="D113" s="108"/>
      <c r="E113" s="108" t="s">
        <v>153</v>
      </c>
      <c r="F113" s="107" t="s">
        <v>260</v>
      </c>
      <c r="G113" s="107" t="s">
        <v>245</v>
      </c>
      <c r="H113" s="107" t="s">
        <v>245</v>
      </c>
      <c r="I113" s="107" t="s">
        <v>246</v>
      </c>
      <c r="J113" s="109" t="s">
        <v>246</v>
      </c>
      <c r="K113" s="107">
        <v>272</v>
      </c>
      <c r="L113" s="107">
        <v>14986</v>
      </c>
      <c r="M113" s="107" t="s">
        <v>245</v>
      </c>
      <c r="N113" s="107" t="s">
        <v>254</v>
      </c>
      <c r="O113" s="107" t="s">
        <v>245</v>
      </c>
      <c r="P113" s="108" t="s">
        <v>860</v>
      </c>
      <c r="Q113" s="108" t="s">
        <v>861</v>
      </c>
      <c r="R113" s="108" t="s">
        <v>862</v>
      </c>
      <c r="S113" s="107" t="s">
        <v>245</v>
      </c>
    </row>
    <row r="114" spans="1:19" ht="21.75" customHeight="1" x14ac:dyDescent="0.3">
      <c r="A114" s="110">
        <v>109</v>
      </c>
      <c r="B114" s="111" t="s">
        <v>904</v>
      </c>
      <c r="C114" s="112" t="s">
        <v>995</v>
      </c>
      <c r="D114" s="112"/>
      <c r="E114" s="112" t="s">
        <v>153</v>
      </c>
      <c r="F114" s="111" t="s">
        <v>284</v>
      </c>
      <c r="G114" s="111" t="s">
        <v>245</v>
      </c>
      <c r="H114" s="111" t="s">
        <v>245</v>
      </c>
      <c r="I114" s="111" t="s">
        <v>245</v>
      </c>
      <c r="J114" s="113" t="s">
        <v>246</v>
      </c>
      <c r="K114" s="111">
        <v>261</v>
      </c>
      <c r="L114" s="111">
        <v>14335</v>
      </c>
      <c r="M114" s="111" t="s">
        <v>245</v>
      </c>
      <c r="N114" s="111" t="s">
        <v>247</v>
      </c>
      <c r="O114" s="111" t="s">
        <v>246</v>
      </c>
      <c r="P114" s="112" t="s">
        <v>866</v>
      </c>
      <c r="Q114" s="112" t="s">
        <v>861</v>
      </c>
      <c r="R114" s="112" t="s">
        <v>862</v>
      </c>
      <c r="S114" s="111" t="s">
        <v>245</v>
      </c>
    </row>
    <row r="115" spans="1:19" ht="21.75" customHeight="1" x14ac:dyDescent="0.3">
      <c r="A115" s="106">
        <v>110</v>
      </c>
      <c r="B115" s="107" t="s">
        <v>904</v>
      </c>
      <c r="C115" s="108" t="s">
        <v>996</v>
      </c>
      <c r="D115" s="108"/>
      <c r="E115" s="108" t="s">
        <v>153</v>
      </c>
      <c r="F115" s="107" t="s">
        <v>284</v>
      </c>
      <c r="G115" s="107" t="s">
        <v>245</v>
      </c>
      <c r="H115" s="107" t="s">
        <v>245</v>
      </c>
      <c r="I115" s="107" t="s">
        <v>246</v>
      </c>
      <c r="J115" s="109" t="s">
        <v>246</v>
      </c>
      <c r="K115" s="107">
        <v>248</v>
      </c>
      <c r="L115" s="107">
        <v>13632</v>
      </c>
      <c r="M115" s="107" t="s">
        <v>245</v>
      </c>
      <c r="N115" s="107" t="s">
        <v>247</v>
      </c>
      <c r="O115" s="107" t="s">
        <v>246</v>
      </c>
      <c r="P115" s="108" t="s">
        <v>860</v>
      </c>
      <c r="Q115" s="108" t="s">
        <v>861</v>
      </c>
      <c r="R115" s="108" t="s">
        <v>862</v>
      </c>
      <c r="S115" s="107" t="s">
        <v>245</v>
      </c>
    </row>
    <row r="116" spans="1:19" ht="21.75" customHeight="1" x14ac:dyDescent="0.3">
      <c r="A116" s="110">
        <v>111</v>
      </c>
      <c r="B116" s="111" t="s">
        <v>904</v>
      </c>
      <c r="C116" s="112" t="s">
        <v>997</v>
      </c>
      <c r="D116" s="112"/>
      <c r="E116" s="112" t="s">
        <v>153</v>
      </c>
      <c r="F116" s="111" t="s">
        <v>891</v>
      </c>
      <c r="G116" s="111" t="s">
        <v>245</v>
      </c>
      <c r="H116" s="111" t="s">
        <v>245</v>
      </c>
      <c r="I116" s="111" t="s">
        <v>245</v>
      </c>
      <c r="J116" s="113" t="s">
        <v>246</v>
      </c>
      <c r="K116" s="111">
        <v>205</v>
      </c>
      <c r="L116" s="111">
        <v>11282</v>
      </c>
      <c r="M116" s="111" t="s">
        <v>245</v>
      </c>
      <c r="N116" s="111" t="s">
        <v>267</v>
      </c>
      <c r="O116" s="111" t="s">
        <v>246</v>
      </c>
      <c r="P116" s="112" t="s">
        <v>866</v>
      </c>
      <c r="Q116" s="112" t="s">
        <v>861</v>
      </c>
      <c r="R116" s="112" t="s">
        <v>862</v>
      </c>
      <c r="S116" s="111" t="s">
        <v>245</v>
      </c>
    </row>
    <row r="117" spans="1:19" ht="21.75" customHeight="1" x14ac:dyDescent="0.3">
      <c r="A117" s="106">
        <v>112</v>
      </c>
      <c r="B117" s="107" t="s">
        <v>911</v>
      </c>
      <c r="C117" s="108" t="s">
        <v>998</v>
      </c>
      <c r="D117" s="108"/>
      <c r="E117" s="108" t="s">
        <v>153</v>
      </c>
      <c r="F117" s="107" t="s">
        <v>284</v>
      </c>
      <c r="G117" s="107" t="s">
        <v>245</v>
      </c>
      <c r="H117" s="107" t="s">
        <v>245</v>
      </c>
      <c r="I117" s="107" t="s">
        <v>246</v>
      </c>
      <c r="J117" s="107" t="s">
        <v>245</v>
      </c>
      <c r="K117" s="107">
        <v>170</v>
      </c>
      <c r="L117" s="107">
        <v>9345</v>
      </c>
      <c r="M117" s="107" t="s">
        <v>245</v>
      </c>
      <c r="N117" s="107" t="s">
        <v>247</v>
      </c>
      <c r="O117" s="107" t="s">
        <v>246</v>
      </c>
      <c r="P117" s="108" t="s">
        <v>860</v>
      </c>
      <c r="Q117" s="108" t="s">
        <v>868</v>
      </c>
      <c r="R117" s="108" t="s">
        <v>869</v>
      </c>
      <c r="S117" s="107" t="s">
        <v>246</v>
      </c>
    </row>
    <row r="118" spans="1:19" ht="21.75" customHeight="1" x14ac:dyDescent="0.3">
      <c r="A118" s="110">
        <v>113</v>
      </c>
      <c r="B118" s="111" t="s">
        <v>911</v>
      </c>
      <c r="C118" s="112" t="s">
        <v>999</v>
      </c>
      <c r="D118" s="112"/>
      <c r="E118" s="112" t="s">
        <v>153</v>
      </c>
      <c r="F118" s="111" t="s">
        <v>284</v>
      </c>
      <c r="G118" s="111" t="s">
        <v>245</v>
      </c>
      <c r="H118" s="111" t="s">
        <v>245</v>
      </c>
      <c r="I118" s="111" t="s">
        <v>245</v>
      </c>
      <c r="J118" s="111" t="s">
        <v>245</v>
      </c>
      <c r="K118" s="111">
        <v>118</v>
      </c>
      <c r="L118" s="111">
        <v>6474</v>
      </c>
      <c r="M118" s="111" t="s">
        <v>245</v>
      </c>
      <c r="N118" s="111" t="s">
        <v>247</v>
      </c>
      <c r="O118" s="111" t="s">
        <v>246</v>
      </c>
      <c r="P118" s="112" t="s">
        <v>866</v>
      </c>
      <c r="Q118" s="112" t="s">
        <v>868</v>
      </c>
      <c r="R118" s="112" t="s">
        <v>869</v>
      </c>
      <c r="S118" s="111" t="s">
        <v>245</v>
      </c>
    </row>
    <row r="119" spans="1:19" ht="21.75" customHeight="1" x14ac:dyDescent="0.3">
      <c r="A119" s="106">
        <v>114</v>
      </c>
      <c r="B119" s="107" t="s">
        <v>911</v>
      </c>
      <c r="C119" s="108" t="s">
        <v>1000</v>
      </c>
      <c r="D119" s="108"/>
      <c r="E119" s="108" t="s">
        <v>153</v>
      </c>
      <c r="F119" s="107" t="s">
        <v>284</v>
      </c>
      <c r="G119" s="107" t="s">
        <v>245</v>
      </c>
      <c r="H119" s="107" t="s">
        <v>246</v>
      </c>
      <c r="I119" s="107" t="s">
        <v>245</v>
      </c>
      <c r="J119" s="109" t="s">
        <v>246</v>
      </c>
      <c r="K119" s="107">
        <v>92</v>
      </c>
      <c r="L119" s="107">
        <v>5039</v>
      </c>
      <c r="M119" s="107" t="s">
        <v>245</v>
      </c>
      <c r="N119" s="107" t="s">
        <v>247</v>
      </c>
      <c r="O119" s="107" t="s">
        <v>246</v>
      </c>
      <c r="P119" s="108" t="s">
        <v>866</v>
      </c>
      <c r="Q119" s="108" t="s">
        <v>861</v>
      </c>
      <c r="R119" s="108" t="s">
        <v>862</v>
      </c>
      <c r="S119" s="107" t="s">
        <v>245</v>
      </c>
    </row>
    <row r="120" spans="1:19" ht="21.75" customHeight="1" x14ac:dyDescent="0.3">
      <c r="A120" s="110">
        <v>115</v>
      </c>
      <c r="B120" s="111" t="s">
        <v>911</v>
      </c>
      <c r="C120" s="112" t="s">
        <v>134</v>
      </c>
      <c r="D120" s="112"/>
      <c r="E120" s="112" t="s">
        <v>153</v>
      </c>
      <c r="F120" s="111" t="s">
        <v>284</v>
      </c>
      <c r="G120" s="111" t="s">
        <v>245</v>
      </c>
      <c r="H120" s="111" t="s">
        <v>245</v>
      </c>
      <c r="I120" s="111" t="s">
        <v>246</v>
      </c>
      <c r="J120" s="111" t="s">
        <v>245</v>
      </c>
      <c r="K120" s="111">
        <v>74</v>
      </c>
      <c r="L120" s="111">
        <v>4057</v>
      </c>
      <c r="M120" s="111" t="s">
        <v>245</v>
      </c>
      <c r="N120" s="111" t="s">
        <v>247</v>
      </c>
      <c r="O120" s="111" t="s">
        <v>246</v>
      </c>
      <c r="P120" s="112" t="s">
        <v>860</v>
      </c>
      <c r="Q120" s="112" t="s">
        <v>868</v>
      </c>
      <c r="R120" s="112" t="s">
        <v>869</v>
      </c>
      <c r="S120" s="111" t="s">
        <v>245</v>
      </c>
    </row>
    <row r="121" spans="1:19" ht="21.75" customHeight="1" x14ac:dyDescent="0.3">
      <c r="A121" s="106">
        <v>116</v>
      </c>
      <c r="B121" s="107" t="s">
        <v>918</v>
      </c>
      <c r="C121" s="108" t="s">
        <v>1001</v>
      </c>
      <c r="D121" s="108"/>
      <c r="E121" s="108" t="s">
        <v>153</v>
      </c>
      <c r="F121" s="107" t="s">
        <v>891</v>
      </c>
      <c r="G121" s="107" t="s">
        <v>245</v>
      </c>
      <c r="H121" s="107" t="s">
        <v>245</v>
      </c>
      <c r="I121" s="107" t="s">
        <v>245</v>
      </c>
      <c r="J121" s="109" t="s">
        <v>246</v>
      </c>
      <c r="K121" s="107">
        <v>73</v>
      </c>
      <c r="L121" s="107">
        <v>4037</v>
      </c>
      <c r="M121" s="107" t="s">
        <v>245</v>
      </c>
      <c r="N121" s="107" t="s">
        <v>267</v>
      </c>
      <c r="O121" s="107" t="s">
        <v>246</v>
      </c>
      <c r="P121" s="108" t="s">
        <v>866</v>
      </c>
      <c r="Q121" s="108" t="s">
        <v>861</v>
      </c>
      <c r="R121" s="108" t="s">
        <v>862</v>
      </c>
      <c r="S121" s="107" t="s">
        <v>245</v>
      </c>
    </row>
    <row r="122" spans="1:19" ht="21.75" customHeight="1" x14ac:dyDescent="0.3">
      <c r="A122" s="110">
        <v>117</v>
      </c>
      <c r="B122" s="111" t="s">
        <v>918</v>
      </c>
      <c r="C122" s="112" t="s">
        <v>1002</v>
      </c>
      <c r="D122" s="112"/>
      <c r="E122" s="112" t="s">
        <v>153</v>
      </c>
      <c r="F122" s="111" t="s">
        <v>273</v>
      </c>
      <c r="G122" s="111" t="s">
        <v>245</v>
      </c>
      <c r="H122" s="111" t="s">
        <v>245</v>
      </c>
      <c r="I122" s="111" t="s">
        <v>245</v>
      </c>
      <c r="J122" s="113" t="s">
        <v>246</v>
      </c>
      <c r="K122" s="111">
        <v>73</v>
      </c>
      <c r="L122" s="111">
        <v>4019</v>
      </c>
      <c r="M122" s="111" t="s">
        <v>246</v>
      </c>
      <c r="N122" s="111" t="s">
        <v>274</v>
      </c>
      <c r="O122" s="111" t="s">
        <v>246</v>
      </c>
      <c r="P122" s="112" t="s">
        <v>866</v>
      </c>
      <c r="Q122" s="112" t="s">
        <v>861</v>
      </c>
      <c r="R122" s="112" t="s">
        <v>862</v>
      </c>
      <c r="S122" s="111" t="s">
        <v>245</v>
      </c>
    </row>
    <row r="123" spans="1:19" ht="21.75" customHeight="1" x14ac:dyDescent="0.3">
      <c r="A123" s="106">
        <v>118</v>
      </c>
      <c r="B123" s="107" t="s">
        <v>918</v>
      </c>
      <c r="C123" s="108" t="s">
        <v>1003</v>
      </c>
      <c r="D123" s="108"/>
      <c r="E123" s="108" t="s">
        <v>153</v>
      </c>
      <c r="F123" s="107" t="s">
        <v>284</v>
      </c>
      <c r="G123" s="107" t="s">
        <v>245</v>
      </c>
      <c r="H123" s="107" t="s">
        <v>245</v>
      </c>
      <c r="I123" s="107" t="s">
        <v>245</v>
      </c>
      <c r="J123" s="109" t="s">
        <v>246</v>
      </c>
      <c r="K123" s="107">
        <v>69</v>
      </c>
      <c r="L123" s="107">
        <v>3776</v>
      </c>
      <c r="M123" s="107" t="s">
        <v>245</v>
      </c>
      <c r="N123" s="107" t="s">
        <v>247</v>
      </c>
      <c r="O123" s="107" t="s">
        <v>246</v>
      </c>
      <c r="P123" s="108" t="s">
        <v>866</v>
      </c>
      <c r="Q123" s="108" t="s">
        <v>861</v>
      </c>
      <c r="R123" s="108" t="s">
        <v>862</v>
      </c>
      <c r="S123" s="107" t="s">
        <v>245</v>
      </c>
    </row>
    <row r="124" spans="1:19" ht="21.75" customHeight="1" x14ac:dyDescent="0.3">
      <c r="A124" s="110">
        <v>119</v>
      </c>
      <c r="B124" s="111" t="s">
        <v>918</v>
      </c>
      <c r="C124" s="112" t="s">
        <v>1004</v>
      </c>
      <c r="D124" s="112"/>
      <c r="E124" s="112" t="s">
        <v>153</v>
      </c>
      <c r="F124" s="111" t="s">
        <v>284</v>
      </c>
      <c r="G124" s="111" t="s">
        <v>245</v>
      </c>
      <c r="H124" s="111" t="s">
        <v>245</v>
      </c>
      <c r="I124" s="111" t="s">
        <v>246</v>
      </c>
      <c r="J124" s="113" t="s">
        <v>246</v>
      </c>
      <c r="K124" s="111">
        <v>48</v>
      </c>
      <c r="L124" s="111">
        <v>2623</v>
      </c>
      <c r="M124" s="111" t="s">
        <v>245</v>
      </c>
      <c r="N124" s="111" t="s">
        <v>247</v>
      </c>
      <c r="O124" s="111" t="s">
        <v>246</v>
      </c>
      <c r="P124" s="112" t="s">
        <v>860</v>
      </c>
      <c r="Q124" s="112" t="s">
        <v>861</v>
      </c>
      <c r="R124" s="112" t="s">
        <v>862</v>
      </c>
      <c r="S124" s="111" t="s">
        <v>245</v>
      </c>
    </row>
    <row r="125" spans="1:19" ht="21.75" customHeight="1" x14ac:dyDescent="0.3">
      <c r="A125" s="106">
        <v>120</v>
      </c>
      <c r="B125" s="107" t="s">
        <v>954</v>
      </c>
      <c r="C125" s="108" t="s">
        <v>1005</v>
      </c>
      <c r="D125" s="108"/>
      <c r="E125" s="108" t="s">
        <v>153</v>
      </c>
      <c r="F125" s="107" t="s">
        <v>284</v>
      </c>
      <c r="G125" s="107" t="s">
        <v>245</v>
      </c>
      <c r="H125" s="107" t="s">
        <v>245</v>
      </c>
      <c r="I125" s="107" t="s">
        <v>245</v>
      </c>
      <c r="J125" s="109" t="s">
        <v>246</v>
      </c>
      <c r="K125" s="107">
        <v>34</v>
      </c>
      <c r="L125" s="107">
        <v>1895</v>
      </c>
      <c r="M125" s="107" t="s">
        <v>245</v>
      </c>
      <c r="N125" s="107" t="s">
        <v>247</v>
      </c>
      <c r="O125" s="107" t="s">
        <v>246</v>
      </c>
      <c r="P125" s="108" t="s">
        <v>866</v>
      </c>
      <c r="Q125" s="108" t="s">
        <v>888</v>
      </c>
      <c r="R125" s="108" t="s">
        <v>1006</v>
      </c>
      <c r="S125" s="107" t="s">
        <v>245</v>
      </c>
    </row>
    <row r="126" spans="1:19" ht="21.75" customHeight="1" x14ac:dyDescent="0.3">
      <c r="A126" s="110">
        <v>121</v>
      </c>
      <c r="B126" s="111" t="s">
        <v>954</v>
      </c>
      <c r="C126" s="112" t="s">
        <v>1007</v>
      </c>
      <c r="D126" s="112"/>
      <c r="E126" s="112" t="s">
        <v>153</v>
      </c>
      <c r="F126" s="111" t="s">
        <v>284</v>
      </c>
      <c r="G126" s="111" t="s">
        <v>245</v>
      </c>
      <c r="H126" s="111" t="s">
        <v>245</v>
      </c>
      <c r="I126" s="111" t="s">
        <v>246</v>
      </c>
      <c r="J126" s="113" t="s">
        <v>246</v>
      </c>
      <c r="K126" s="111">
        <v>41</v>
      </c>
      <c r="L126" s="111">
        <v>2236</v>
      </c>
      <c r="M126" s="111" t="s">
        <v>245</v>
      </c>
      <c r="N126" s="111" t="s">
        <v>247</v>
      </c>
      <c r="O126" s="111" t="s">
        <v>246</v>
      </c>
      <c r="P126" s="112" t="s">
        <v>860</v>
      </c>
      <c r="Q126" s="112" t="s">
        <v>888</v>
      </c>
      <c r="R126" s="112" t="s">
        <v>1006</v>
      </c>
      <c r="S126" s="111" t="s">
        <v>245</v>
      </c>
    </row>
    <row r="127" spans="1:19" ht="21.75" customHeight="1" x14ac:dyDescent="0.3">
      <c r="A127" s="106">
        <v>122</v>
      </c>
      <c r="B127" s="107" t="s">
        <v>954</v>
      </c>
      <c r="C127" s="108" t="s">
        <v>1008</v>
      </c>
      <c r="D127" s="108"/>
      <c r="E127" s="108" t="s">
        <v>153</v>
      </c>
      <c r="F127" s="107" t="s">
        <v>284</v>
      </c>
      <c r="G127" s="107" t="s">
        <v>246</v>
      </c>
      <c r="H127" s="107" t="s">
        <v>245</v>
      </c>
      <c r="I127" s="107" t="s">
        <v>245</v>
      </c>
      <c r="J127" s="109" t="s">
        <v>246</v>
      </c>
      <c r="K127" s="107">
        <v>1</v>
      </c>
      <c r="L127" s="107">
        <v>0</v>
      </c>
      <c r="M127" s="107" t="s">
        <v>245</v>
      </c>
      <c r="N127" s="107" t="s">
        <v>247</v>
      </c>
      <c r="O127" s="107" t="s">
        <v>246</v>
      </c>
      <c r="P127" s="108" t="s">
        <v>878</v>
      </c>
      <c r="Q127" s="108" t="s">
        <v>888</v>
      </c>
      <c r="R127" s="108" t="s">
        <v>1006</v>
      </c>
      <c r="S127" s="107" t="s">
        <v>245</v>
      </c>
    </row>
    <row r="128" spans="1:19" ht="21.75" customHeight="1" x14ac:dyDescent="0.3">
      <c r="A128" s="110">
        <v>123</v>
      </c>
      <c r="B128" s="111" t="s">
        <v>954</v>
      </c>
      <c r="C128" s="112" t="s">
        <v>1009</v>
      </c>
      <c r="D128" s="112"/>
      <c r="E128" s="112" t="s">
        <v>153</v>
      </c>
      <c r="F128" s="111" t="s">
        <v>273</v>
      </c>
      <c r="G128" s="111" t="s">
        <v>246</v>
      </c>
      <c r="H128" s="111" t="s">
        <v>245</v>
      </c>
      <c r="I128" s="111" t="s">
        <v>246</v>
      </c>
      <c r="J128" s="111" t="s">
        <v>245</v>
      </c>
      <c r="K128" s="111">
        <v>1</v>
      </c>
      <c r="L128" s="111">
        <v>0</v>
      </c>
      <c r="M128" s="111" t="s">
        <v>246</v>
      </c>
      <c r="N128" s="111" t="s">
        <v>274</v>
      </c>
      <c r="O128" s="111" t="s">
        <v>246</v>
      </c>
      <c r="P128" s="112" t="s">
        <v>406</v>
      </c>
      <c r="Q128" s="112" t="s">
        <v>892</v>
      </c>
      <c r="R128" s="112" t="s">
        <v>1006</v>
      </c>
      <c r="S128" s="111" t="s">
        <v>245</v>
      </c>
    </row>
    <row r="129" spans="1:19" ht="21.75" customHeight="1" x14ac:dyDescent="0.3">
      <c r="A129" s="106">
        <v>124</v>
      </c>
      <c r="B129" s="107" t="s">
        <v>960</v>
      </c>
      <c r="C129" s="108" t="s">
        <v>1010</v>
      </c>
      <c r="D129" s="108"/>
      <c r="E129" s="108" t="s">
        <v>153</v>
      </c>
      <c r="F129" s="107" t="s">
        <v>284</v>
      </c>
      <c r="G129" s="107" t="s">
        <v>245</v>
      </c>
      <c r="H129" s="107" t="s">
        <v>245</v>
      </c>
      <c r="I129" s="107" t="s">
        <v>246</v>
      </c>
      <c r="J129" s="109" t="s">
        <v>246</v>
      </c>
      <c r="K129" s="107">
        <v>1</v>
      </c>
      <c r="L129" s="107">
        <v>0</v>
      </c>
      <c r="M129" s="107" t="s">
        <v>245</v>
      </c>
      <c r="N129" s="107" t="s">
        <v>247</v>
      </c>
      <c r="O129" s="107" t="s">
        <v>246</v>
      </c>
      <c r="P129" s="108" t="s">
        <v>860</v>
      </c>
      <c r="Q129" s="108" t="s">
        <v>888</v>
      </c>
      <c r="R129" s="108" t="s">
        <v>1006</v>
      </c>
      <c r="S129" s="107" t="s">
        <v>245</v>
      </c>
    </row>
    <row r="130" spans="1:19" ht="21.75" customHeight="1" x14ac:dyDescent="0.3">
      <c r="A130" s="110">
        <v>125</v>
      </c>
      <c r="B130" s="111" t="s">
        <v>960</v>
      </c>
      <c r="C130" s="112" t="s">
        <v>1011</v>
      </c>
      <c r="D130" s="112"/>
      <c r="E130" s="112" t="s">
        <v>153</v>
      </c>
      <c r="F130" s="111" t="s">
        <v>284</v>
      </c>
      <c r="G130" s="111" t="s">
        <v>245</v>
      </c>
      <c r="H130" s="111" t="s">
        <v>245</v>
      </c>
      <c r="I130" s="111" t="s">
        <v>246</v>
      </c>
      <c r="J130" s="113" t="s">
        <v>246</v>
      </c>
      <c r="K130" s="111">
        <v>33</v>
      </c>
      <c r="L130" s="111">
        <v>1815</v>
      </c>
      <c r="M130" s="111" t="s">
        <v>245</v>
      </c>
      <c r="N130" s="111" t="s">
        <v>247</v>
      </c>
      <c r="O130" s="111" t="s">
        <v>246</v>
      </c>
      <c r="P130" s="112" t="s">
        <v>860</v>
      </c>
      <c r="Q130" s="112" t="s">
        <v>888</v>
      </c>
      <c r="R130" s="112" t="s">
        <v>1006</v>
      </c>
      <c r="S130" s="111" t="s">
        <v>245</v>
      </c>
    </row>
    <row r="131" spans="1:19" ht="21.75" customHeight="1" x14ac:dyDescent="0.3">
      <c r="A131" s="106">
        <v>126</v>
      </c>
      <c r="B131" s="107" t="s">
        <v>960</v>
      </c>
      <c r="C131" s="108" t="s">
        <v>1012</v>
      </c>
      <c r="D131" s="108"/>
      <c r="E131" s="108" t="s">
        <v>153</v>
      </c>
      <c r="F131" s="107" t="s">
        <v>284</v>
      </c>
      <c r="G131" s="107" t="s">
        <v>245</v>
      </c>
      <c r="H131" s="107" t="s">
        <v>245</v>
      </c>
      <c r="I131" s="107" t="s">
        <v>246</v>
      </c>
      <c r="J131" s="109" t="s">
        <v>246</v>
      </c>
      <c r="K131" s="107">
        <v>10</v>
      </c>
      <c r="L131" s="107">
        <v>560</v>
      </c>
      <c r="M131" s="107" t="s">
        <v>245</v>
      </c>
      <c r="N131" s="107" t="s">
        <v>247</v>
      </c>
      <c r="O131" s="107" t="s">
        <v>246</v>
      </c>
      <c r="P131" s="108" t="s">
        <v>860</v>
      </c>
      <c r="Q131" s="108" t="s">
        <v>888</v>
      </c>
      <c r="R131" s="108" t="s">
        <v>1006</v>
      </c>
      <c r="S131" s="107" t="s">
        <v>245</v>
      </c>
    </row>
    <row r="132" spans="1:19" ht="21.75" customHeight="1" x14ac:dyDescent="0.3">
      <c r="A132" s="110">
        <v>127</v>
      </c>
      <c r="B132" s="111" t="s">
        <v>960</v>
      </c>
      <c r="C132" s="112" t="s">
        <v>1013</v>
      </c>
      <c r="D132" s="112"/>
      <c r="E132" s="112" t="s">
        <v>153</v>
      </c>
      <c r="F132" s="111" t="s">
        <v>284</v>
      </c>
      <c r="G132" s="111" t="s">
        <v>246</v>
      </c>
      <c r="H132" s="111" t="s">
        <v>245</v>
      </c>
      <c r="I132" s="111" t="s">
        <v>246</v>
      </c>
      <c r="J132" s="113" t="s">
        <v>246</v>
      </c>
      <c r="K132" s="111">
        <v>1</v>
      </c>
      <c r="L132" s="111">
        <v>0</v>
      </c>
      <c r="M132" s="111" t="s">
        <v>245</v>
      </c>
      <c r="N132" s="111" t="s">
        <v>247</v>
      </c>
      <c r="O132" s="111" t="s">
        <v>246</v>
      </c>
      <c r="P132" s="112" t="s">
        <v>406</v>
      </c>
      <c r="Q132" s="112" t="s">
        <v>888</v>
      </c>
      <c r="R132" s="112" t="s">
        <v>1006</v>
      </c>
      <c r="S132" s="111" t="s">
        <v>245</v>
      </c>
    </row>
    <row r="133" spans="1:19" ht="21.75" customHeight="1" x14ac:dyDescent="0.3">
      <c r="A133" s="106">
        <v>128</v>
      </c>
      <c r="B133" s="107" t="s">
        <v>960</v>
      </c>
      <c r="C133" s="108" t="s">
        <v>1014</v>
      </c>
      <c r="D133" s="108"/>
      <c r="E133" s="108" t="s">
        <v>153</v>
      </c>
      <c r="F133" s="107" t="s">
        <v>260</v>
      </c>
      <c r="G133" s="107" t="s">
        <v>246</v>
      </c>
      <c r="H133" s="107" t="s">
        <v>245</v>
      </c>
      <c r="I133" s="107" t="s">
        <v>246</v>
      </c>
      <c r="J133" s="107" t="s">
        <v>245</v>
      </c>
      <c r="K133" s="107">
        <v>1</v>
      </c>
      <c r="L133" s="107">
        <v>0</v>
      </c>
      <c r="M133" s="107" t="s">
        <v>245</v>
      </c>
      <c r="N133" s="107" t="s">
        <v>254</v>
      </c>
      <c r="O133" s="107" t="s">
        <v>245</v>
      </c>
      <c r="P133" s="108" t="s">
        <v>406</v>
      </c>
      <c r="Q133" s="108" t="s">
        <v>892</v>
      </c>
      <c r="R133" s="108" t="s">
        <v>1006</v>
      </c>
      <c r="S133" s="107" t="s">
        <v>245</v>
      </c>
    </row>
    <row r="134" spans="1:19" ht="21.75" customHeight="1" x14ac:dyDescent="0.3">
      <c r="A134" s="110">
        <v>129</v>
      </c>
      <c r="B134" s="111" t="s">
        <v>960</v>
      </c>
      <c r="C134" s="112" t="s">
        <v>1015</v>
      </c>
      <c r="D134" s="112"/>
      <c r="E134" s="112" t="s">
        <v>153</v>
      </c>
      <c r="F134" s="111" t="s">
        <v>284</v>
      </c>
      <c r="G134" s="111" t="s">
        <v>245</v>
      </c>
      <c r="H134" s="111" t="s">
        <v>246</v>
      </c>
      <c r="I134" s="111" t="s">
        <v>246</v>
      </c>
      <c r="J134" s="113" t="s">
        <v>246</v>
      </c>
      <c r="K134" s="111">
        <v>1</v>
      </c>
      <c r="L134" s="111">
        <v>0</v>
      </c>
      <c r="M134" s="111" t="s">
        <v>245</v>
      </c>
      <c r="N134" s="111" t="s">
        <v>247</v>
      </c>
      <c r="O134" s="111" t="s">
        <v>246</v>
      </c>
      <c r="P134" s="112" t="s">
        <v>860</v>
      </c>
      <c r="Q134" s="112" t="s">
        <v>888</v>
      </c>
      <c r="R134" s="112" t="s">
        <v>1006</v>
      </c>
      <c r="S134" s="111" t="s">
        <v>245</v>
      </c>
    </row>
    <row r="135" spans="1:19" ht="39.75" customHeight="1" x14ac:dyDescent="0.3">
      <c r="A135" s="114">
        <v>130</v>
      </c>
      <c r="B135" s="114" t="s">
        <v>1016</v>
      </c>
      <c r="C135" s="114" t="s">
        <v>1017</v>
      </c>
      <c r="D135" s="114"/>
      <c r="E135" s="114" t="s">
        <v>1018</v>
      </c>
      <c r="F135" s="114" t="s">
        <v>284</v>
      </c>
      <c r="G135" s="114" t="s">
        <v>245</v>
      </c>
      <c r="H135" s="114" t="s">
        <v>245</v>
      </c>
      <c r="I135" s="114" t="s">
        <v>245</v>
      </c>
      <c r="J135" s="114" t="s">
        <v>246</v>
      </c>
      <c r="K135" s="114">
        <v>45</v>
      </c>
      <c r="L135" s="114">
        <v>2475</v>
      </c>
      <c r="M135" s="114" t="s">
        <v>245</v>
      </c>
      <c r="N135" s="114" t="s">
        <v>247</v>
      </c>
      <c r="O135" s="114" t="s">
        <v>246</v>
      </c>
      <c r="P135" s="114" t="s">
        <v>860</v>
      </c>
      <c r="Q135" s="114" t="s">
        <v>1019</v>
      </c>
      <c r="R135" s="114" t="s">
        <v>1020</v>
      </c>
      <c r="S135" s="114" t="s">
        <v>245</v>
      </c>
    </row>
    <row r="136" spans="1:19" ht="39.75" customHeight="1" x14ac:dyDescent="0.3">
      <c r="A136" s="114">
        <v>131</v>
      </c>
      <c r="B136" s="114" t="s">
        <v>1016</v>
      </c>
      <c r="C136" s="114" t="s">
        <v>1021</v>
      </c>
      <c r="D136" s="114"/>
      <c r="E136" s="114" t="s">
        <v>1018</v>
      </c>
      <c r="F136" s="114" t="s">
        <v>273</v>
      </c>
      <c r="G136" s="114" t="s">
        <v>246</v>
      </c>
      <c r="H136" s="114" t="s">
        <v>246</v>
      </c>
      <c r="I136" s="114" t="s">
        <v>245</v>
      </c>
      <c r="J136" s="114" t="s">
        <v>246</v>
      </c>
      <c r="K136" s="114">
        <v>12</v>
      </c>
      <c r="L136" s="114">
        <v>660</v>
      </c>
      <c r="M136" s="114" t="s">
        <v>246</v>
      </c>
      <c r="N136" s="114" t="s">
        <v>274</v>
      </c>
      <c r="O136" s="114" t="s">
        <v>246</v>
      </c>
      <c r="P136" s="114" t="s">
        <v>878</v>
      </c>
      <c r="Q136" s="114" t="s">
        <v>1022</v>
      </c>
      <c r="R136" s="114" t="s">
        <v>1023</v>
      </c>
      <c r="S136" s="114" t="s">
        <v>245</v>
      </c>
    </row>
    <row r="137" spans="1:19" ht="39.75" customHeight="1" x14ac:dyDescent="0.3">
      <c r="A137" s="114">
        <v>132</v>
      </c>
      <c r="B137" s="114" t="s">
        <v>1016</v>
      </c>
      <c r="C137" s="114" t="s">
        <v>1024</v>
      </c>
      <c r="D137" s="114"/>
      <c r="E137" s="114" t="s">
        <v>1025</v>
      </c>
      <c r="F137" s="114" t="s">
        <v>244</v>
      </c>
      <c r="G137" s="114" t="s">
        <v>245</v>
      </c>
      <c r="H137" s="114" t="s">
        <v>245</v>
      </c>
      <c r="I137" s="114" t="s">
        <v>246</v>
      </c>
      <c r="J137" s="114" t="s">
        <v>246</v>
      </c>
      <c r="K137" s="114">
        <v>28</v>
      </c>
      <c r="L137" s="114">
        <v>1540</v>
      </c>
      <c r="M137" s="114" t="s">
        <v>245</v>
      </c>
      <c r="N137" s="114" t="s">
        <v>247</v>
      </c>
      <c r="O137" s="114" t="s">
        <v>246</v>
      </c>
      <c r="P137" s="114" t="s">
        <v>878</v>
      </c>
      <c r="Q137" s="114" t="s">
        <v>1026</v>
      </c>
      <c r="R137" s="114" t="s">
        <v>1027</v>
      </c>
      <c r="S137" s="114" t="s">
        <v>245</v>
      </c>
    </row>
  </sheetData>
  <mergeCells count="4">
    <mergeCell ref="A1:S1"/>
    <mergeCell ref="A2:S2"/>
    <mergeCell ref="A3:S3"/>
    <mergeCell ref="A4:S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45A32"/>
  </sheetPr>
  <dimension ref="A1:G10"/>
  <sheetViews>
    <sheetView showGridLines="0" zoomScaleNormal="100" workbookViewId="0"/>
  </sheetViews>
  <sheetFormatPr defaultColWidth="8.6640625" defaultRowHeight="14.4" x14ac:dyDescent="0.3"/>
  <cols>
    <col min="1" max="1" width="20" customWidth="1"/>
    <col min="2" max="6" width="16" customWidth="1"/>
    <col min="7" max="7" width="30" customWidth="1"/>
  </cols>
  <sheetData>
    <row r="1" spans="1:7" ht="30" customHeight="1" x14ac:dyDescent="0.3">
      <c r="A1" s="146" t="s">
        <v>1028</v>
      </c>
      <c r="B1" s="146"/>
      <c r="C1" s="146"/>
      <c r="D1" s="146"/>
      <c r="E1" s="146"/>
      <c r="F1" s="146"/>
      <c r="G1" s="146"/>
    </row>
    <row r="2" spans="1:7" ht="18" customHeight="1" x14ac:dyDescent="0.3">
      <c r="A2" s="147" t="s">
        <v>1029</v>
      </c>
      <c r="B2" s="147"/>
      <c r="C2" s="147"/>
      <c r="D2" s="147"/>
      <c r="E2" s="147"/>
      <c r="F2" s="147"/>
      <c r="G2" s="147"/>
    </row>
    <row r="3" spans="1:7" ht="3.75" customHeight="1" x14ac:dyDescent="0.3">
      <c r="A3" s="141"/>
      <c r="B3" s="141"/>
      <c r="C3" s="141"/>
      <c r="D3" s="141"/>
      <c r="E3" s="141"/>
      <c r="F3" s="141"/>
      <c r="G3" s="141"/>
    </row>
    <row r="4" spans="1:7" ht="31.5" customHeight="1" x14ac:dyDescent="0.3">
      <c r="A4" s="60" t="s">
        <v>123</v>
      </c>
      <c r="B4" s="60" t="s">
        <v>1030</v>
      </c>
      <c r="C4" s="60" t="s">
        <v>1031</v>
      </c>
      <c r="D4" s="60" t="s">
        <v>1032</v>
      </c>
      <c r="E4" s="60" t="s">
        <v>1033</v>
      </c>
      <c r="F4" s="60" t="s">
        <v>1034</v>
      </c>
      <c r="G4" s="60" t="s">
        <v>1035</v>
      </c>
    </row>
    <row r="5" spans="1:7" ht="30" customHeight="1" x14ac:dyDescent="0.3">
      <c r="A5" s="115" t="s">
        <v>129</v>
      </c>
      <c r="B5" s="116">
        <v>363097.01</v>
      </c>
      <c r="C5" s="116">
        <v>286086.71999999997</v>
      </c>
      <c r="D5" s="116">
        <v>199867.98</v>
      </c>
      <c r="E5" s="116">
        <v>142845.41</v>
      </c>
      <c r="F5" s="116">
        <v>3971.83</v>
      </c>
      <c r="G5" s="117" t="s">
        <v>1036</v>
      </c>
    </row>
    <row r="6" spans="1:7" ht="30" customHeight="1" x14ac:dyDescent="0.3">
      <c r="A6" s="118" t="s">
        <v>135</v>
      </c>
      <c r="B6" s="119">
        <v>1399099.38</v>
      </c>
      <c r="C6" s="119">
        <v>1098717.1200000001</v>
      </c>
      <c r="D6" s="119">
        <v>833326.75</v>
      </c>
      <c r="E6" s="119">
        <v>535907.06999999995</v>
      </c>
      <c r="F6" s="119">
        <v>1239.25</v>
      </c>
      <c r="G6" s="120" t="s">
        <v>1037</v>
      </c>
    </row>
    <row r="7" spans="1:7" ht="30" customHeight="1" x14ac:dyDescent="0.3">
      <c r="A7" s="121" t="s">
        <v>140</v>
      </c>
      <c r="B7" s="122">
        <v>368024.96</v>
      </c>
      <c r="C7" s="122">
        <v>245920.91</v>
      </c>
      <c r="D7" s="122">
        <v>178793.52</v>
      </c>
      <c r="E7" s="122">
        <v>162195.41</v>
      </c>
      <c r="F7" s="122">
        <v>3445.79</v>
      </c>
      <c r="G7" s="123" t="s">
        <v>1038</v>
      </c>
    </row>
    <row r="8" spans="1:7" ht="30" customHeight="1" x14ac:dyDescent="0.3">
      <c r="A8" s="124" t="s">
        <v>147</v>
      </c>
      <c r="B8" s="125">
        <v>324238.28999999998</v>
      </c>
      <c r="C8" s="125">
        <v>212174.51</v>
      </c>
      <c r="D8" s="125">
        <v>144081.57</v>
      </c>
      <c r="E8" s="125">
        <v>143488.03</v>
      </c>
      <c r="F8" s="125">
        <v>7733.52</v>
      </c>
      <c r="G8" s="126" t="s">
        <v>1039</v>
      </c>
    </row>
    <row r="9" spans="1:7" ht="30" customHeight="1" x14ac:dyDescent="0.3">
      <c r="A9" s="127" t="s">
        <v>153</v>
      </c>
      <c r="B9" s="128">
        <v>102886.14</v>
      </c>
      <c r="C9" s="128">
        <v>59560.18</v>
      </c>
      <c r="D9" s="128">
        <v>43695.35</v>
      </c>
      <c r="E9" s="128">
        <v>49748.27</v>
      </c>
      <c r="F9" s="128">
        <v>1838.14</v>
      </c>
      <c r="G9" s="129" t="s">
        <v>1040</v>
      </c>
    </row>
    <row r="10" spans="1:7" ht="30" customHeight="1" x14ac:dyDescent="0.3">
      <c r="A10" s="130" t="s">
        <v>22</v>
      </c>
      <c r="B10" s="130">
        <v>2557345.7799999998</v>
      </c>
      <c r="C10" s="130">
        <v>1902459.44</v>
      </c>
      <c r="D10" s="130">
        <v>1399764.17</v>
      </c>
      <c r="E10" s="130">
        <v>1034184.19</v>
      </c>
      <c r="F10" s="130">
        <v>18228.53</v>
      </c>
      <c r="G10" s="131" t="s">
        <v>1041</v>
      </c>
    </row>
  </sheetData>
  <mergeCells count="3">
    <mergeCell ref="A1:G1"/>
    <mergeCell ref="A2:G2"/>
    <mergeCell ref="A3:G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392B"/>
  </sheetPr>
  <dimension ref="A1:B15"/>
  <sheetViews>
    <sheetView showGridLines="0" zoomScaleNormal="100" workbookViewId="0"/>
  </sheetViews>
  <sheetFormatPr defaultColWidth="8.6640625" defaultRowHeight="14.4" x14ac:dyDescent="0.3"/>
  <cols>
    <col min="1" max="1" width="30" customWidth="1"/>
    <col min="2" max="2" width="70" customWidth="1"/>
  </cols>
  <sheetData>
    <row r="1" spans="1:2" ht="30" customHeight="1" x14ac:dyDescent="0.3">
      <c r="A1" s="146" t="s">
        <v>1042</v>
      </c>
      <c r="B1" s="146"/>
    </row>
    <row r="2" spans="1:2" ht="24" customHeight="1" x14ac:dyDescent="0.3">
      <c r="A2" s="132" t="s">
        <v>1043</v>
      </c>
      <c r="B2" s="132" t="s">
        <v>1044</v>
      </c>
    </row>
    <row r="3" spans="1:2" ht="49.5" customHeight="1" x14ac:dyDescent="0.3">
      <c r="A3" s="133" t="s">
        <v>1045</v>
      </c>
      <c r="B3" s="134" t="s">
        <v>1046</v>
      </c>
    </row>
    <row r="4" spans="1:2" ht="49.5" customHeight="1" x14ac:dyDescent="0.3">
      <c r="A4" s="133" t="s">
        <v>1047</v>
      </c>
      <c r="B4" s="135" t="s">
        <v>1048</v>
      </c>
    </row>
    <row r="5" spans="1:2" ht="49.5" customHeight="1" x14ac:dyDescent="0.3">
      <c r="A5" s="133" t="s">
        <v>1049</v>
      </c>
      <c r="B5" s="134" t="s">
        <v>1050</v>
      </c>
    </row>
    <row r="6" spans="1:2" ht="49.5" customHeight="1" x14ac:dyDescent="0.3">
      <c r="A6" s="133" t="s">
        <v>1051</v>
      </c>
      <c r="B6" s="135" t="s">
        <v>1052</v>
      </c>
    </row>
    <row r="7" spans="1:2" ht="49.5" customHeight="1" x14ac:dyDescent="0.3">
      <c r="A7" s="133" t="s">
        <v>1053</v>
      </c>
      <c r="B7" s="134" t="s">
        <v>1054</v>
      </c>
    </row>
    <row r="8" spans="1:2" ht="49.5" customHeight="1" x14ac:dyDescent="0.3">
      <c r="A8" s="133" t="s">
        <v>1055</v>
      </c>
      <c r="B8" s="135" t="s">
        <v>1056</v>
      </c>
    </row>
    <row r="9" spans="1:2" ht="49.5" customHeight="1" x14ac:dyDescent="0.3">
      <c r="A9" s="133" t="s">
        <v>1057</v>
      </c>
      <c r="B9" s="134" t="s">
        <v>1058</v>
      </c>
    </row>
    <row r="10" spans="1:2" ht="30" customHeight="1" x14ac:dyDescent="0.3">
      <c r="A10" s="149" t="s">
        <v>1059</v>
      </c>
      <c r="B10" s="149"/>
    </row>
    <row r="11" spans="1:2" ht="42" customHeight="1" x14ac:dyDescent="0.3">
      <c r="A11" s="136" t="s">
        <v>1060</v>
      </c>
      <c r="B11" s="137" t="s">
        <v>1061</v>
      </c>
    </row>
    <row r="12" spans="1:2" ht="42" customHeight="1" x14ac:dyDescent="0.3">
      <c r="A12" s="136" t="s">
        <v>1062</v>
      </c>
      <c r="B12" s="137" t="s">
        <v>1063</v>
      </c>
    </row>
    <row r="13" spans="1:2" ht="42" customHeight="1" x14ac:dyDescent="0.3">
      <c r="A13" s="136" t="s">
        <v>1064</v>
      </c>
      <c r="B13" s="137" t="s">
        <v>1065</v>
      </c>
    </row>
    <row r="14" spans="1:2" ht="42" customHeight="1" x14ac:dyDescent="0.3">
      <c r="A14" s="136" t="s">
        <v>1066</v>
      </c>
      <c r="B14" s="137" t="s">
        <v>1067</v>
      </c>
    </row>
    <row r="15" spans="1:2" ht="42" customHeight="1" x14ac:dyDescent="0.3">
      <c r="A15" s="136" t="s">
        <v>1068</v>
      </c>
      <c r="B15" s="137" t="s">
        <v>1069</v>
      </c>
    </row>
  </sheetData>
  <mergeCells count="2">
    <mergeCell ref="A1:B1"/>
    <mergeCell ref="A10:B10"/>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I54"/>
  <sheetViews>
    <sheetView showGridLines="0" zoomScaleNormal="100" workbookViewId="0"/>
  </sheetViews>
  <sheetFormatPr defaultColWidth="8.6640625" defaultRowHeight="14.4" x14ac:dyDescent="0.3"/>
  <cols>
    <col min="1" max="1" width="1.5546875" customWidth="1"/>
    <col min="2" max="2" width="20" customWidth="1"/>
    <col min="3" max="3" width="14" customWidth="1"/>
    <col min="4" max="5" width="15" customWidth="1"/>
    <col min="6" max="8" width="12" customWidth="1"/>
    <col min="9" max="9" width="42" customWidth="1"/>
    <col min="10" max="10" width="1.5546875" customWidth="1"/>
  </cols>
  <sheetData>
    <row r="2" spans="2:9" ht="37.5" customHeight="1" x14ac:dyDescent="0.3">
      <c r="B2" s="150" t="s">
        <v>1070</v>
      </c>
      <c r="C2" s="150"/>
      <c r="D2" s="150"/>
      <c r="E2" s="150"/>
      <c r="F2" s="150"/>
      <c r="G2" s="150"/>
      <c r="H2" s="150"/>
      <c r="I2" s="150"/>
    </row>
    <row r="3" spans="2:9" ht="18" customHeight="1" x14ac:dyDescent="0.3">
      <c r="B3" s="13" t="s">
        <v>1071</v>
      </c>
      <c r="C3" s="13"/>
      <c r="D3" s="13"/>
      <c r="E3" s="13"/>
      <c r="F3" s="13"/>
      <c r="G3" s="13"/>
      <c r="H3" s="13"/>
      <c r="I3" s="13"/>
    </row>
    <row r="5" spans="2:9" ht="24" customHeight="1" x14ac:dyDescent="0.3">
      <c r="B5" s="151" t="s">
        <v>1072</v>
      </c>
      <c r="C5" s="151"/>
      <c r="D5" s="151"/>
      <c r="E5" s="151"/>
      <c r="F5" s="151"/>
      <c r="G5" s="151"/>
      <c r="H5" s="151"/>
      <c r="I5" s="151"/>
    </row>
    <row r="6" spans="2:9" ht="15.75" customHeight="1" x14ac:dyDescent="0.3">
      <c r="B6" s="152" t="s">
        <v>856</v>
      </c>
      <c r="C6" s="152"/>
    </row>
    <row r="7" spans="2:9" ht="15.75" customHeight="1" x14ac:dyDescent="0.3">
      <c r="B7" s="138" t="s">
        <v>124</v>
      </c>
      <c r="D7" s="152" t="s">
        <v>124</v>
      </c>
      <c r="E7" s="152"/>
    </row>
    <row r="8" spans="2:9" ht="15.75" customHeight="1" x14ac:dyDescent="0.3">
      <c r="B8" s="138" t="s">
        <v>226</v>
      </c>
      <c r="F8" s="152" t="s">
        <v>226</v>
      </c>
      <c r="G8" s="152"/>
      <c r="H8" s="152"/>
      <c r="I8" s="152"/>
    </row>
    <row r="9" spans="2:9" ht="19.5" customHeight="1" x14ac:dyDescent="0.3">
      <c r="B9" s="138" t="s">
        <v>1073</v>
      </c>
      <c r="C9" s="153" t="s">
        <v>1074</v>
      </c>
      <c r="D9" s="153"/>
      <c r="E9" s="153"/>
      <c r="F9" s="153"/>
      <c r="G9" s="153"/>
      <c r="H9" s="153"/>
      <c r="I9" s="153"/>
    </row>
    <row r="10" spans="2:9" ht="15.75" customHeight="1" x14ac:dyDescent="0.3">
      <c r="B10" s="152" t="s">
        <v>1075</v>
      </c>
      <c r="C10" s="152"/>
    </row>
    <row r="11" spans="2:9" ht="15.75" customHeight="1" x14ac:dyDescent="0.3">
      <c r="B11" s="138" t="s">
        <v>1076</v>
      </c>
      <c r="D11" s="152" t="s">
        <v>1076</v>
      </c>
      <c r="E11" s="152"/>
    </row>
    <row r="12" spans="2:9" ht="15.75" customHeight="1" x14ac:dyDescent="0.3">
      <c r="B12" s="138" t="s">
        <v>1077</v>
      </c>
      <c r="F12" s="152" t="s">
        <v>1077</v>
      </c>
      <c r="G12" s="152"/>
    </row>
    <row r="13" spans="2:9" ht="19.5" customHeight="1" x14ac:dyDescent="0.3">
      <c r="B13" s="138" t="s">
        <v>1078</v>
      </c>
      <c r="H13" s="152" t="s">
        <v>1078</v>
      </c>
      <c r="I13" s="152"/>
    </row>
    <row r="14" spans="2:9" ht="15.75" customHeight="1" x14ac:dyDescent="0.3">
      <c r="B14" s="152" t="s">
        <v>1079</v>
      </c>
      <c r="C14" s="152"/>
    </row>
    <row r="15" spans="2:9" ht="15.75" customHeight="1" x14ac:dyDescent="0.3">
      <c r="B15" s="138" t="s">
        <v>9</v>
      </c>
      <c r="D15" s="152" t="s">
        <v>9</v>
      </c>
      <c r="E15" s="152"/>
    </row>
    <row r="16" spans="2:9" ht="15.75" customHeight="1" x14ac:dyDescent="0.3">
      <c r="B16" s="138" t="s">
        <v>1080</v>
      </c>
      <c r="F16" s="152" t="s">
        <v>1080</v>
      </c>
      <c r="G16" s="152"/>
    </row>
    <row r="17" spans="2:9" ht="15.75" customHeight="1" x14ac:dyDescent="0.3">
      <c r="B17" s="138" t="s">
        <v>1081</v>
      </c>
      <c r="H17" s="152" t="s">
        <v>1081</v>
      </c>
      <c r="I17" s="152"/>
    </row>
    <row r="18" spans="2:9" ht="19.5" customHeight="1" x14ac:dyDescent="0.3">
      <c r="B18" s="138" t="s">
        <v>1082</v>
      </c>
      <c r="C18" s="153" t="s">
        <v>860</v>
      </c>
      <c r="D18" s="153"/>
      <c r="E18" s="153"/>
      <c r="F18" s="153"/>
      <c r="G18" s="153"/>
      <c r="H18" s="153"/>
      <c r="I18" s="153"/>
    </row>
    <row r="19" spans="2:9" ht="54.75" customHeight="1" x14ac:dyDescent="0.3">
      <c r="B19" s="139" t="s">
        <v>1083</v>
      </c>
      <c r="C19" s="154" t="s">
        <v>1084</v>
      </c>
      <c r="D19" s="154"/>
      <c r="E19" s="154"/>
      <c r="F19" s="154"/>
      <c r="G19" s="154"/>
      <c r="H19" s="154"/>
      <c r="I19" s="154"/>
    </row>
    <row r="20" spans="2:9" ht="30" customHeight="1" x14ac:dyDescent="0.3">
      <c r="B20" s="140" t="s">
        <v>1085</v>
      </c>
      <c r="C20" s="155" t="s">
        <v>1086</v>
      </c>
      <c r="D20" s="155"/>
      <c r="E20" s="155"/>
      <c r="F20" s="155"/>
      <c r="G20" s="155"/>
      <c r="H20" s="155"/>
      <c r="I20" s="155"/>
    </row>
    <row r="22" spans="2:9" ht="24" customHeight="1" x14ac:dyDescent="0.3">
      <c r="B22" s="151" t="s">
        <v>1087</v>
      </c>
      <c r="C22" s="151"/>
      <c r="D22" s="151"/>
      <c r="E22" s="151"/>
      <c r="F22" s="151"/>
      <c r="G22" s="151"/>
      <c r="H22" s="151"/>
      <c r="I22" s="151"/>
    </row>
    <row r="23" spans="2:9" ht="15.75" customHeight="1" x14ac:dyDescent="0.3">
      <c r="B23" s="152" t="s">
        <v>856</v>
      </c>
      <c r="C23" s="152"/>
    </row>
    <row r="24" spans="2:9" ht="15.75" customHeight="1" x14ac:dyDescent="0.3">
      <c r="B24" s="138" t="s">
        <v>124</v>
      </c>
      <c r="D24" s="152" t="s">
        <v>124</v>
      </c>
      <c r="E24" s="152"/>
    </row>
    <row r="25" spans="2:9" ht="15.75" customHeight="1" x14ac:dyDescent="0.3">
      <c r="B25" s="138" t="s">
        <v>226</v>
      </c>
      <c r="F25" s="152" t="s">
        <v>226</v>
      </c>
      <c r="G25" s="152"/>
      <c r="H25" s="152"/>
      <c r="I25" s="152"/>
    </row>
    <row r="26" spans="2:9" ht="19.5" customHeight="1" x14ac:dyDescent="0.3">
      <c r="B26" s="138" t="s">
        <v>1073</v>
      </c>
      <c r="C26" s="153" t="s">
        <v>1088</v>
      </c>
      <c r="D26" s="153"/>
      <c r="E26" s="153"/>
      <c r="F26" s="153"/>
      <c r="G26" s="153"/>
      <c r="H26" s="153"/>
      <c r="I26" s="153"/>
    </row>
    <row r="27" spans="2:9" ht="15.75" customHeight="1" x14ac:dyDescent="0.3">
      <c r="B27" s="152" t="s">
        <v>1075</v>
      </c>
      <c r="C27" s="152"/>
    </row>
    <row r="28" spans="2:9" ht="15.75" customHeight="1" x14ac:dyDescent="0.3">
      <c r="B28" s="138" t="s">
        <v>1076</v>
      </c>
      <c r="D28" s="152" t="s">
        <v>1076</v>
      </c>
      <c r="E28" s="152"/>
    </row>
    <row r="29" spans="2:9" ht="15.75" customHeight="1" x14ac:dyDescent="0.3">
      <c r="B29" s="138" t="s">
        <v>1077</v>
      </c>
      <c r="F29" s="152" t="s">
        <v>1077</v>
      </c>
      <c r="G29" s="152"/>
    </row>
    <row r="30" spans="2:9" ht="19.5" customHeight="1" x14ac:dyDescent="0.3">
      <c r="B30" s="138" t="s">
        <v>1078</v>
      </c>
      <c r="H30" s="152" t="s">
        <v>1078</v>
      </c>
      <c r="I30" s="152"/>
    </row>
    <row r="31" spans="2:9" ht="15.75" customHeight="1" x14ac:dyDescent="0.3">
      <c r="B31" s="152" t="s">
        <v>1079</v>
      </c>
      <c r="C31" s="152"/>
    </row>
    <row r="32" spans="2:9" ht="15.75" customHeight="1" x14ac:dyDescent="0.3">
      <c r="B32" s="138" t="s">
        <v>9</v>
      </c>
      <c r="D32" s="152" t="s">
        <v>9</v>
      </c>
      <c r="E32" s="152"/>
    </row>
    <row r="33" spans="2:9" ht="15.75" customHeight="1" x14ac:dyDescent="0.3">
      <c r="B33" s="138" t="s">
        <v>1080</v>
      </c>
      <c r="F33" s="152" t="s">
        <v>1080</v>
      </c>
      <c r="G33" s="152"/>
    </row>
    <row r="34" spans="2:9" ht="15.75" customHeight="1" x14ac:dyDescent="0.3">
      <c r="B34" s="138" t="s">
        <v>1081</v>
      </c>
      <c r="H34" s="152" t="s">
        <v>1081</v>
      </c>
      <c r="I34" s="152"/>
    </row>
    <row r="35" spans="2:9" ht="19.5" customHeight="1" x14ac:dyDescent="0.3">
      <c r="B35" s="138" t="s">
        <v>1082</v>
      </c>
      <c r="C35" s="153" t="s">
        <v>1089</v>
      </c>
      <c r="D35" s="153"/>
      <c r="E35" s="153"/>
      <c r="F35" s="153"/>
      <c r="G35" s="153"/>
      <c r="H35" s="153"/>
      <c r="I35" s="153"/>
    </row>
    <row r="36" spans="2:9" ht="54.75" customHeight="1" x14ac:dyDescent="0.3">
      <c r="B36" s="139" t="s">
        <v>1083</v>
      </c>
      <c r="C36" s="156" t="s">
        <v>1090</v>
      </c>
      <c r="D36" s="156"/>
      <c r="E36" s="156"/>
      <c r="F36" s="156"/>
      <c r="G36" s="156"/>
      <c r="H36" s="156"/>
      <c r="I36" s="156"/>
    </row>
    <row r="37" spans="2:9" ht="30" customHeight="1" x14ac:dyDescent="0.3">
      <c r="B37" s="140" t="s">
        <v>1085</v>
      </c>
      <c r="C37" s="155" t="s">
        <v>1091</v>
      </c>
      <c r="D37" s="155"/>
      <c r="E37" s="155"/>
      <c r="F37" s="155"/>
      <c r="G37" s="155"/>
      <c r="H37" s="155"/>
      <c r="I37" s="155"/>
    </row>
    <row r="39" spans="2:9" ht="24" customHeight="1" x14ac:dyDescent="0.3">
      <c r="B39" s="151" t="s">
        <v>1092</v>
      </c>
      <c r="C39" s="151"/>
      <c r="D39" s="151"/>
      <c r="E39" s="151"/>
      <c r="F39" s="151"/>
      <c r="G39" s="151"/>
      <c r="H39" s="151"/>
      <c r="I39" s="151"/>
    </row>
    <row r="40" spans="2:9" ht="15.75" customHeight="1" x14ac:dyDescent="0.3">
      <c r="B40" s="152" t="s">
        <v>856</v>
      </c>
      <c r="C40" s="152"/>
    </row>
    <row r="41" spans="2:9" ht="15.75" customHeight="1" x14ac:dyDescent="0.3">
      <c r="B41" s="138" t="s">
        <v>124</v>
      </c>
      <c r="D41" s="152" t="s">
        <v>124</v>
      </c>
      <c r="E41" s="152"/>
    </row>
    <row r="42" spans="2:9" ht="15.75" customHeight="1" x14ac:dyDescent="0.3">
      <c r="B42" s="138" t="s">
        <v>226</v>
      </c>
      <c r="F42" s="152" t="s">
        <v>226</v>
      </c>
      <c r="G42" s="152"/>
      <c r="H42" s="152"/>
      <c r="I42" s="152"/>
    </row>
    <row r="43" spans="2:9" ht="19.5" customHeight="1" x14ac:dyDescent="0.3">
      <c r="B43" s="138" t="s">
        <v>1073</v>
      </c>
      <c r="C43" s="153" t="s">
        <v>1093</v>
      </c>
      <c r="D43" s="153"/>
      <c r="E43" s="153"/>
      <c r="F43" s="153"/>
      <c r="G43" s="153"/>
      <c r="H43" s="153"/>
      <c r="I43" s="153"/>
    </row>
    <row r="44" spans="2:9" ht="15.75" customHeight="1" x14ac:dyDescent="0.3">
      <c r="B44" s="152" t="s">
        <v>1075</v>
      </c>
      <c r="C44" s="152"/>
    </row>
    <row r="45" spans="2:9" ht="15.75" customHeight="1" x14ac:dyDescent="0.3">
      <c r="B45" s="138" t="s">
        <v>1076</v>
      </c>
      <c r="D45" s="152" t="s">
        <v>1076</v>
      </c>
      <c r="E45" s="152"/>
    </row>
    <row r="46" spans="2:9" ht="15.75" customHeight="1" x14ac:dyDescent="0.3">
      <c r="B46" s="138" t="s">
        <v>1077</v>
      </c>
      <c r="F46" s="152" t="s">
        <v>1077</v>
      </c>
      <c r="G46" s="152"/>
    </row>
    <row r="47" spans="2:9" ht="19.5" customHeight="1" x14ac:dyDescent="0.3">
      <c r="B47" s="138" t="s">
        <v>1078</v>
      </c>
      <c r="H47" s="152" t="s">
        <v>1078</v>
      </c>
      <c r="I47" s="152"/>
    </row>
    <row r="48" spans="2:9" ht="15.75" customHeight="1" x14ac:dyDescent="0.3">
      <c r="B48" s="152" t="s">
        <v>1079</v>
      </c>
      <c r="C48" s="152"/>
    </row>
    <row r="49" spans="2:9" ht="15.75" customHeight="1" x14ac:dyDescent="0.3">
      <c r="B49" s="138" t="s">
        <v>9</v>
      </c>
      <c r="D49" s="152" t="s">
        <v>9</v>
      </c>
      <c r="E49" s="152"/>
    </row>
    <row r="50" spans="2:9" ht="15.75" customHeight="1" x14ac:dyDescent="0.3">
      <c r="B50" s="138" t="s">
        <v>1080</v>
      </c>
      <c r="F50" s="152" t="s">
        <v>1080</v>
      </c>
      <c r="G50" s="152"/>
    </row>
    <row r="51" spans="2:9" ht="15.75" customHeight="1" x14ac:dyDescent="0.3">
      <c r="B51" s="138" t="s">
        <v>1081</v>
      </c>
      <c r="H51" s="152" t="s">
        <v>1081</v>
      </c>
      <c r="I51" s="152"/>
    </row>
    <row r="52" spans="2:9" ht="19.5" customHeight="1" x14ac:dyDescent="0.3">
      <c r="B52" s="138" t="s">
        <v>1082</v>
      </c>
      <c r="C52" s="153" t="s">
        <v>1094</v>
      </c>
      <c r="D52" s="153"/>
      <c r="E52" s="153"/>
      <c r="F52" s="153"/>
      <c r="G52" s="153"/>
      <c r="H52" s="153"/>
      <c r="I52" s="153"/>
    </row>
    <row r="53" spans="2:9" ht="54.75" customHeight="1" x14ac:dyDescent="0.3">
      <c r="B53" s="139" t="s">
        <v>1083</v>
      </c>
      <c r="C53" s="157" t="s">
        <v>1095</v>
      </c>
      <c r="D53" s="157"/>
      <c r="E53" s="157"/>
      <c r="F53" s="157"/>
      <c r="G53" s="157"/>
      <c r="H53" s="157"/>
      <c r="I53" s="157"/>
    </row>
    <row r="54" spans="2:9" ht="30" customHeight="1" x14ac:dyDescent="0.3">
      <c r="B54" s="140" t="s">
        <v>1085</v>
      </c>
      <c r="C54" s="155" t="s">
        <v>1096</v>
      </c>
      <c r="D54" s="155"/>
      <c r="E54" s="155"/>
      <c r="F54" s="155"/>
      <c r="G54" s="155"/>
      <c r="H54" s="155"/>
      <c r="I54" s="155"/>
    </row>
  </sheetData>
  <mergeCells count="50">
    <mergeCell ref="F50:G50"/>
    <mergeCell ref="H51:I51"/>
    <mergeCell ref="C52:I52"/>
    <mergeCell ref="C53:I53"/>
    <mergeCell ref="C54:I54"/>
    <mergeCell ref="D45:E45"/>
    <mergeCell ref="F46:G46"/>
    <mergeCell ref="H47:I47"/>
    <mergeCell ref="B48:C48"/>
    <mergeCell ref="D49:E49"/>
    <mergeCell ref="B40:C40"/>
    <mergeCell ref="D41:E41"/>
    <mergeCell ref="F42:I42"/>
    <mergeCell ref="C43:I43"/>
    <mergeCell ref="B44:C44"/>
    <mergeCell ref="H34:I34"/>
    <mergeCell ref="C35:I35"/>
    <mergeCell ref="C36:I36"/>
    <mergeCell ref="C37:I37"/>
    <mergeCell ref="B39:I39"/>
    <mergeCell ref="F29:G29"/>
    <mergeCell ref="H30:I30"/>
    <mergeCell ref="B31:C31"/>
    <mergeCell ref="D32:E32"/>
    <mergeCell ref="F33:G33"/>
    <mergeCell ref="D24:E24"/>
    <mergeCell ref="F25:I25"/>
    <mergeCell ref="C26:I26"/>
    <mergeCell ref="B27:C27"/>
    <mergeCell ref="D28:E28"/>
    <mergeCell ref="C18:I18"/>
    <mergeCell ref="C19:I19"/>
    <mergeCell ref="C20:I20"/>
    <mergeCell ref="B22:I22"/>
    <mergeCell ref="B23:C23"/>
    <mergeCell ref="H13:I13"/>
    <mergeCell ref="B14:C14"/>
    <mergeCell ref="D15:E15"/>
    <mergeCell ref="F16:G16"/>
    <mergeCell ref="H17:I17"/>
    <mergeCell ref="F8:I8"/>
    <mergeCell ref="C9:I9"/>
    <mergeCell ref="B10:C10"/>
    <mergeCell ref="D11:E11"/>
    <mergeCell ref="F12:G12"/>
    <mergeCell ref="B2:I2"/>
    <mergeCell ref="B3:I3"/>
    <mergeCell ref="B5:I5"/>
    <mergeCell ref="B6:C6"/>
    <mergeCell ref="D7:E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Internship Report</vt:lpstr>
      <vt:lpstr>📋 How To Use</vt:lpstr>
      <vt:lpstr>Daily Outlet Tracker</vt:lpstr>
      <vt:lpstr>Daily Diary</vt:lpstr>
      <vt:lpstr>Weekly Summary</vt:lpstr>
      <vt:lpstr>Competitor Tracker</vt:lpstr>
      <vt:lpstr>New Routes Apr-May 26</vt:lpstr>
      <vt:lpstr>Route Sales Summary</vt:lpstr>
      <vt:lpstr>Issues &amp; Observations</vt:lpstr>
      <vt:lpstr>New Outlets Added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2026-03-28T09:32:38Z</dcterms:created>
  <dcterms:modified xsi:type="dcterms:W3CDTF">2026-05-21T10:03:24Z</dcterms:modified>
  <dc:language>en-US</dc:language>
</cp:coreProperties>
</file>